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7a1e2d8c6d055d/Área de Trabalho/Excel/"/>
    </mc:Choice>
  </mc:AlternateContent>
  <xr:revisionPtr revIDLastSave="554" documentId="8_{95ADF57D-7F1A-4766-88F5-07315A95D732}" xr6:coauthVersionLast="47" xr6:coauthVersionMax="47" xr10:uidLastSave="{BCA4EC67-5FA2-4D10-B826-17E8DF0A4DED}"/>
  <bookViews>
    <workbookView xWindow="-108" yWindow="-108" windowWidth="23256" windowHeight="12456" activeTab="1" xr2:uid="{4AEA7844-2B47-42C5-B37B-18A85CA61B11}"/>
  </bookViews>
  <sheets>
    <sheet name="Dados" sheetId="1" r:id="rId1"/>
    <sheet name="Reports" sheetId="3" r:id="rId2"/>
    <sheet name="Normalize" sheetId="2" r:id="rId3"/>
  </sheets>
  <definedNames>
    <definedName name="_xlnm._FilterDatabase" localSheetId="0" hidden="1">Dados!$A$1:$AD$301</definedName>
    <definedName name="SegmentaçãodeDados_state">#N/A</definedName>
    <definedName name="SegmentaçãodeDados_theme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1" l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L4" i="2"/>
  <c r="L2" i="2"/>
  <c r="I4" i="2"/>
  <c r="I3" i="2"/>
  <c r="F4" i="2"/>
  <c r="F2" i="2"/>
  <c r="B31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4" i="2"/>
  <c r="B13" i="2"/>
  <c r="B10" i="2"/>
  <c r="B9" i="2"/>
  <c r="B8" i="2"/>
  <c r="B7" i="2"/>
  <c r="B6" i="2"/>
  <c r="B3" i="2"/>
</calcChain>
</file>

<file path=xl/sharedStrings.xml><?xml version="1.0" encoding="utf-8"?>
<sst xmlns="http://schemas.openxmlformats.org/spreadsheetml/2006/main" count="4619" uniqueCount="128">
  <si>
    <t>sale_id</t>
  </si>
  <si>
    <t>date</t>
  </si>
  <si>
    <t>store_id</t>
  </si>
  <si>
    <t>store_name</t>
  </si>
  <si>
    <t>region</t>
  </si>
  <si>
    <t>channel</t>
  </si>
  <si>
    <t>product_id</t>
  </si>
  <si>
    <t>product_name</t>
  </si>
  <si>
    <t>theme</t>
  </si>
  <si>
    <t>category</t>
  </si>
  <si>
    <t>collection_year</t>
  </si>
  <si>
    <t>size</t>
  </si>
  <si>
    <t>colorway</t>
  </si>
  <si>
    <t>units_sold</t>
  </si>
  <si>
    <t>unit_price</t>
  </si>
  <si>
    <t>discount_applied</t>
  </si>
  <si>
    <t>discount_value</t>
  </si>
  <si>
    <t>final_price</t>
  </si>
  <si>
    <t>payment_method</t>
  </si>
  <si>
    <t>return_status</t>
  </si>
  <si>
    <t>delivery_time_days</t>
  </si>
  <si>
    <t>review_rating</t>
  </si>
  <si>
    <t>tax_value</t>
  </si>
  <si>
    <t>extra_discount_value</t>
  </si>
  <si>
    <t>state</t>
  </si>
  <si>
    <t>Nike Shopping Vila OlÃ­mpia</t>
  </si>
  <si>
    <t>Sudeste</t>
  </si>
  <si>
    <t>Marketplace</t>
  </si>
  <si>
    <t>Nike Stranger Things Edition</t>
  </si>
  <si>
    <t>Stranger Things</t>
  </si>
  <si>
    <t>Basquete</t>
  </si>
  <si>
    <t>Black/Gold</t>
  </si>
  <si>
    <t>False</t>
  </si>
  <si>
    <t>CartÃ£o</t>
  </si>
  <si>
    <t>Nenhuma</t>
  </si>
  <si>
    <t>SP</t>
  </si>
  <si>
    <t>Nike Shopping Aricanduva</t>
  </si>
  <si>
    <t>Norte</t>
  </si>
  <si>
    <t>Loja fÃ­sica</t>
  </si>
  <si>
    <t>Nike Harry Potter Edition</t>
  </si>
  <si>
    <t>Harry Potter</t>
  </si>
  <si>
    <t>Running</t>
  </si>
  <si>
    <t>True</t>
  </si>
  <si>
    <t>Em anÃ¡lise</t>
  </si>
  <si>
    <t>Nike Shopping PÃ¡tio Paulista</t>
  </si>
  <si>
    <t>Centro-Oeste</t>
  </si>
  <si>
    <t>Nike Rick and Morty Edition</t>
  </si>
  <si>
    <t>Rick and Morty</t>
  </si>
  <si>
    <t>Purple/Silver</t>
  </si>
  <si>
    <t>Boleto</t>
  </si>
  <si>
    <t>Devolvido</t>
  </si>
  <si>
    <t>Nike Naruto Edition</t>
  </si>
  <si>
    <t>Naruto</t>
  </si>
  <si>
    <t>Pix</t>
  </si>
  <si>
    <t>Nike Shopping AnÃ¡lia Franco</t>
  </si>
  <si>
    <t>Online</t>
  </si>
  <si>
    <t>White/Blue</t>
  </si>
  <si>
    <t>CrÃ©dito em loja</t>
  </si>
  <si>
    <t>BA</t>
  </si>
  <si>
    <t>Nike Shopping Morumbi</t>
  </si>
  <si>
    <t>Nordeste</t>
  </si>
  <si>
    <t>Casual</t>
  </si>
  <si>
    <t>Nike Shopping Iguatemi</t>
  </si>
  <si>
    <t>Nike One Piece Edition</t>
  </si>
  <si>
    <t>One Piece</t>
  </si>
  <si>
    <t>Nike Shopping JK Iguatemi</t>
  </si>
  <si>
    <t>Green/Yellow</t>
  </si>
  <si>
    <t>Nike Shopping Metropolitano</t>
  </si>
  <si>
    <t>The Mandalorian</t>
  </si>
  <si>
    <t>RJ</t>
  </si>
  <si>
    <t>Nike Shopping Paralela</t>
  </si>
  <si>
    <t>Nike The Mandalorian Edition</t>
  </si>
  <si>
    <t>Loki</t>
  </si>
  <si>
    <t>Sul</t>
  </si>
  <si>
    <t>Nike Shopping Cidade SÃ£o Paulo</t>
  </si>
  <si>
    <t>Red/Black</t>
  </si>
  <si>
    <t>Nike Plaza Shopping NiterÃ³i</t>
  </si>
  <si>
    <t>Nike Shopping RioSul</t>
  </si>
  <si>
    <t>Dragon Ball</t>
  </si>
  <si>
    <t>Nike Shopping Itaigara</t>
  </si>
  <si>
    <t>Nike Loki Edition</t>
  </si>
  <si>
    <t>Nike AmÃ©ricas Shopping</t>
  </si>
  <si>
    <t>Nike Shopping Leblon</t>
  </si>
  <si>
    <t>Nike Boulevard Shopping</t>
  </si>
  <si>
    <t>Nike Salvador Shopping</t>
  </si>
  <si>
    <t>Nike Shopping Bela Vista</t>
  </si>
  <si>
    <t>Nike Dragon Ball Edition</t>
  </si>
  <si>
    <t>Nike BarraShopping</t>
  </si>
  <si>
    <t>Nike Shopping Barra</t>
  </si>
  <si>
    <t>Nike Shopping da Bahia</t>
  </si>
  <si>
    <t>Nike Shopping Via Parque</t>
  </si>
  <si>
    <t>Nike Shopping Paseo</t>
  </si>
  <si>
    <t>Nike Shopping Eldorado</t>
  </si>
  <si>
    <t>Nike Shopping Salvador Norte</t>
  </si>
  <si>
    <t>Nike Shopping Center Norte</t>
  </si>
  <si>
    <t>Nike Shopping Tijuca</t>
  </si>
  <si>
    <t>Nike Shopping Center Lapa</t>
  </si>
  <si>
    <t>Nike Shopping Nova AmÃ©rica</t>
  </si>
  <si>
    <t>Nike Shopping Downtown</t>
  </si>
  <si>
    <t>story_name_normalizado</t>
  </si>
  <si>
    <t>Nike Shopping Vila Oli­mpia</t>
  </si>
  <si>
    <t>Nike Shopping Pátio Paulista</t>
  </si>
  <si>
    <t>Nike Shopping Anália Franco</t>
  </si>
  <si>
    <t>Nike Shopping Cidade São Paulo</t>
  </si>
  <si>
    <t>Nike Plaza Shopping Niterói</t>
  </si>
  <si>
    <t>Nike Americanas Shopping</t>
  </si>
  <si>
    <t>Nike Shopping Nova America</t>
  </si>
  <si>
    <t>story_name_nomarlize</t>
  </si>
  <si>
    <t>channel_normalize</t>
  </si>
  <si>
    <t>Loja Física</t>
  </si>
  <si>
    <t>Coluna1</t>
  </si>
  <si>
    <t>pay_normalize</t>
  </si>
  <si>
    <t>Cartão</t>
  </si>
  <si>
    <t>Credito em loja</t>
  </si>
  <si>
    <t>status_normalize</t>
  </si>
  <si>
    <t>Em análise</t>
  </si>
  <si>
    <t>payment_method_normalize</t>
  </si>
  <si>
    <t>return_status_normlaize</t>
  </si>
  <si>
    <t>final_price_recalc</t>
  </si>
  <si>
    <t xml:space="preserve"> </t>
  </si>
  <si>
    <t>Total Geral</t>
  </si>
  <si>
    <t>(Vários itens)</t>
  </si>
  <si>
    <t>Total Vendas</t>
  </si>
  <si>
    <t>Shopping</t>
  </si>
  <si>
    <t>Por  estados e sem devoluções</t>
  </si>
  <si>
    <t>Vendas Por Shopping</t>
  </si>
  <si>
    <r>
      <t>1. Qual</t>
    </r>
    <r>
      <rPr>
        <b/>
        <sz val="11"/>
        <color theme="1"/>
        <rFont val="Aptos Narrow"/>
        <family val="2"/>
        <scheme val="minor"/>
      </rPr>
      <t xml:space="preserve"> shopping vendeu</t>
    </r>
    <r>
      <rPr>
        <sz val="11"/>
        <color theme="1"/>
        <rFont val="Aptos Narrow"/>
        <family val="2"/>
        <scheme val="minor"/>
      </rPr>
      <t xml:space="preserve"> mais em cada</t>
    </r>
    <r>
      <rPr>
        <b/>
        <sz val="11"/>
        <color theme="1"/>
        <rFont val="Aptos Narrow"/>
        <family val="2"/>
        <scheme val="minor"/>
      </rPr>
      <t xml:space="preserve"> estado</t>
    </r>
    <r>
      <rPr>
        <sz val="11"/>
        <color theme="1"/>
        <rFont val="Aptos Narrow"/>
        <family val="2"/>
        <scheme val="minor"/>
      </rPr>
      <t>(não levar em consideração do que foi devolvido)</t>
    </r>
  </si>
  <si>
    <t>Vendas Por 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</si>
</sst>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44" fontId="0" fillId="0" borderId="0" xfId="0" applyNumberFormat="1"/>
    <xf numFmtId="1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/>
    <xf numFmtId="0" fontId="0" fillId="34" borderId="0" xfId="0" applyFill="1"/>
    <xf numFmtId="0" fontId="16" fillId="0" borderId="0" xfId="0" pivotButton="1" applyFont="1"/>
    <xf numFmtId="0" fontId="16" fillId="0" borderId="0" xfId="0" applyFont="1"/>
    <xf numFmtId="0" fontId="3" fillId="0" borderId="1" xfId="2" applyAlignment="1">
      <alignment horizontal="center"/>
    </xf>
    <xf numFmtId="0" fontId="18" fillId="34" borderId="0" xfId="0" applyFont="1" applyFill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43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</dxf>
    <dxf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</dxf>
    <dxf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</dxf>
    <dxf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</dxf>
    <dxf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>
        <top style="thin">
          <color auto="1"/>
        </top>
        <bottom style="thin">
          <color auto="1"/>
        </bottom>
        <horizontal style="thin">
          <color auto="1"/>
        </horizontal>
      </border>
    </dxf>
    <dxf>
      <font>
        <b/>
        <i val="0"/>
        <sz val="10"/>
        <color theme="3"/>
      </font>
      <border diagonalUp="0" diagonalDown="0">
        <left/>
        <right/>
        <top/>
        <bottom style="hair">
          <color auto="1"/>
        </bottom>
        <vertical/>
        <horizontal style="hair">
          <color auto="1"/>
        </horizontal>
      </border>
    </dxf>
    <dxf>
      <fill>
        <patternFill patternType="solid">
          <bgColor theme="7" tint="0.7999816888943144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</dxfs>
  <tableStyles count="2" defaultTableStyle="TableStyleMedium2" defaultPivotStyle="PivotStyleLight16">
    <tableStyle name="Estilo de Segmentação de Dados 1" pivot="0" table="0" count="3" xr9:uid="{DAAC2ADF-82AE-4C24-A804-123F317B7063}">
      <tableStyleElement type="wholeTable" dxfId="42"/>
      <tableStyleElement type="headerRow" dxfId="41"/>
    </tableStyle>
    <tableStyle name="Estilo de Tabela Dinâmica 1" table="0" count="1" xr9:uid="{19BF2377-68AC-4C16-9C48-EFFDE576776B}">
      <tableStyleElement type="wholeTable" dxfId="40"/>
    </tableStyle>
  </tableStyles>
  <extLst>
    <ext xmlns:x14="http://schemas.microsoft.com/office/spreadsheetml/2009/9/main" uri="{46F421CA-312F-682f-3DD2-61675219B42D}">
      <x14:dxfs count="1">
        <dxf>
          <border>
            <left style="thick">
              <color theme="3" tint="9.9948118533890809E-2"/>
            </left>
            <right style="thick">
              <color theme="3" tint="9.9948118533890809E-2"/>
            </right>
            <top style="thick">
              <color theme="3" tint="9.9948118533890809E-2"/>
            </top>
            <bottom style="thick">
              <color theme="3" tint="9.9948118533890809E-2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microsoft.com/office/2017/10/relationships/person" Target="persons/perso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Dados!A1"/><Relationship Id="rId2" Type="http://schemas.openxmlformats.org/officeDocument/2006/relationships/hyperlink" Target="https://pnghunter.com/png/nike-logo/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91440</xdr:colOff>
      <xdr:row>4</xdr:row>
      <xdr:rowOff>114301</xdr:rowOff>
    </xdr:from>
    <xdr:to>
      <xdr:col>0</xdr:col>
      <xdr:colOff>1866900</xdr:colOff>
      <xdr:row>8</xdr:row>
      <xdr:rowOff>53340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tate">
              <a:extLst>
                <a:ext uri="{FF2B5EF4-FFF2-40B4-BE49-F238E27FC236}">
                  <a16:creationId xmlns:a16="http://schemas.microsoft.com/office/drawing/2014/main" id="{6B7DFE93-68E2-EDE8-055D-C71C7183DB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440" y="1394461"/>
              <a:ext cx="1775460" cy="7162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163830</xdr:colOff>
      <xdr:row>9</xdr:row>
      <xdr:rowOff>45720</xdr:rowOff>
    </xdr:from>
    <xdr:to>
      <xdr:col>0</xdr:col>
      <xdr:colOff>1794510</xdr:colOff>
      <xdr:row>23</xdr:row>
      <xdr:rowOff>121920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theme">
              <a:extLst>
                <a:ext uri="{FF2B5EF4-FFF2-40B4-BE49-F238E27FC236}">
                  <a16:creationId xmlns:a16="http://schemas.microsoft.com/office/drawing/2014/main" id="{F009F55D-4E7B-863B-FEBD-1481EB83C1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he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3830" y="2286000"/>
              <a:ext cx="1630680" cy="2636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213361</xdr:colOff>
      <xdr:row>0</xdr:row>
      <xdr:rowOff>205740</xdr:rowOff>
    </xdr:from>
    <xdr:to>
      <xdr:col>0</xdr:col>
      <xdr:colOff>1371601</xdr:colOff>
      <xdr:row>0</xdr:row>
      <xdr:rowOff>624840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898EB3D7-61F9-9202-3109-5FB2914DC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213361" y="205740"/>
          <a:ext cx="1158240" cy="419100"/>
        </a:xfrm>
        <a:prstGeom prst="rect">
          <a:avLst/>
        </a:prstGeom>
      </xdr:spPr>
    </xdr:pic>
    <xdr:clientData/>
  </xdr:twoCellAnchor>
  <xdr:twoCellAnchor>
    <xdr:from>
      <xdr:col>1</xdr:col>
      <xdr:colOff>15240</xdr:colOff>
      <xdr:row>0</xdr:row>
      <xdr:rowOff>160020</xdr:rowOff>
    </xdr:from>
    <xdr:to>
      <xdr:col>5</xdr:col>
      <xdr:colOff>1569720</xdr:colOff>
      <xdr:row>0</xdr:row>
      <xdr:rowOff>586740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16A335E7-8933-DF5D-E59E-7B6556BE589B}"/>
            </a:ext>
          </a:extLst>
        </xdr:cNvPr>
        <xdr:cNvSpPr/>
      </xdr:nvSpPr>
      <xdr:spPr>
        <a:xfrm>
          <a:off x="1905000" y="160020"/>
          <a:ext cx="5036820" cy="42672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2800" b="1" i="1"/>
            <a:t>NIKE</a:t>
          </a:r>
          <a:r>
            <a:rPr lang="pt-BR" sz="2800" baseline="0"/>
            <a:t> REPORTS VIEWS</a:t>
          </a:r>
          <a:endParaRPr lang="pt-BR" sz="2800"/>
        </a:p>
      </xdr:txBody>
    </xdr:sp>
    <xdr:clientData/>
  </xdr:twoCellAnchor>
  <xdr:twoCellAnchor>
    <xdr:from>
      <xdr:col>5</xdr:col>
      <xdr:colOff>952500</xdr:colOff>
      <xdr:row>0</xdr:row>
      <xdr:rowOff>274320</xdr:rowOff>
    </xdr:from>
    <xdr:to>
      <xdr:col>6</xdr:col>
      <xdr:colOff>822960</xdr:colOff>
      <xdr:row>0</xdr:row>
      <xdr:rowOff>533400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C2CCD70-F117-ED91-C7AD-1EE7062E09E0}"/>
            </a:ext>
          </a:extLst>
        </xdr:cNvPr>
        <xdr:cNvSpPr/>
      </xdr:nvSpPr>
      <xdr:spPr>
        <a:xfrm>
          <a:off x="6553200" y="274320"/>
          <a:ext cx="1333500" cy="259080"/>
        </a:xfrm>
        <a:prstGeom prst="round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Ver Database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ilherme Santos" refreshedDate="46023.567864004632" createdVersion="8" refreshedVersion="8" minRefreshableVersion="3" recordCount="300" xr:uid="{BB3CE833-3571-4AD8-9F27-9205937FE048}">
  <cacheSource type="worksheet">
    <worksheetSource name="tbl_malls_sales"/>
  </cacheSource>
  <cacheFields count="31">
    <cacheField name="sale_id" numFmtId="1">
      <sharedItems containsSemiMixedTypes="0" containsString="0" containsNumber="1" containsInteger="1" minValue="7425" maxValue="7724"/>
    </cacheField>
    <cacheField name="date" numFmtId="14">
      <sharedItems containsSemiMixedTypes="0" containsNonDate="0" containsDate="1" containsString="0" minDate="2024-05-24T00:00:00" maxDate="2025-05-20T00:00:00"/>
    </cacheField>
    <cacheField name="store_id" numFmtId="1">
      <sharedItems containsSemiMixedTypes="0" containsString="0" containsNumber="1" containsInteger="1" minValue="1000" maxValue="1100"/>
    </cacheField>
    <cacheField name="story_name_nomarlize" numFmtId="1">
      <sharedItems count="30">
        <s v="Nike Shopping Vila Oli­mpia"/>
        <s v="Nike Shopping Aricanduva"/>
        <s v="Nike Shopping Pátio Paulista"/>
        <s v="Nike Shopping Anália Franco"/>
        <s v="Nike Shopping Morumbi"/>
        <s v="Nike Shopping Iguatemi"/>
        <s v="Nike Shopping JK Iguatemi"/>
        <s v="Nike Shopping Metropolitano"/>
        <s v="Nike Shopping Paralela"/>
        <s v="Nike Shopping Cidade São Paulo"/>
        <s v="Nike Plaza Shopping Niterói"/>
        <s v="Nike Shopping RioSul"/>
        <s v="Nike Shopping Itaigara"/>
        <s v="Nike Americanas Shopping"/>
        <s v="Nike Shopping Leblon"/>
        <s v="Nike Boulevard Shopping"/>
        <s v="Nike Salvador Shopping"/>
        <s v="Nike Shopping Bela Vista"/>
        <s v="Nike BarraShopping"/>
        <s v="Nike Shopping Barra"/>
        <s v="Nike Shopping da Bahia"/>
        <s v="Nike Shopping Via Parque"/>
        <s v="Nike Shopping Paseo"/>
        <s v="Nike Shopping Eldorado"/>
        <s v="Nike Shopping Salvador Norte"/>
        <s v="Nike Shopping Center Norte"/>
        <s v="Nike Shopping Tijuca"/>
        <s v="Nike Shopping Center Lapa"/>
        <s v="Nike Shopping Nova America"/>
        <s v="Nike Shopping Downtown"/>
      </sharedItems>
    </cacheField>
    <cacheField name="store_name" numFmtId="0">
      <sharedItems/>
    </cacheField>
    <cacheField name="region" numFmtId="0">
      <sharedItems/>
    </cacheField>
    <cacheField name="channel_normalize" numFmtId="0">
      <sharedItems/>
    </cacheField>
    <cacheField name="channel" numFmtId="0">
      <sharedItems/>
    </cacheField>
    <cacheField name="product_id" numFmtId="1">
      <sharedItems containsSemiMixedTypes="0" containsString="0" containsNumber="1" containsInteger="1" minValue="2000" maxValue="3000"/>
    </cacheField>
    <cacheField name="product_name" numFmtId="0">
      <sharedItems/>
    </cacheField>
    <cacheField name="theme" numFmtId="0">
      <sharedItems count="8">
        <s v="Stranger Things"/>
        <s v="Harry Potter"/>
        <s v="Rick and Morty"/>
        <s v="Naruto"/>
        <s v="One Piece"/>
        <s v="The Mandalorian"/>
        <s v="Loki"/>
        <s v="Dragon Ball"/>
      </sharedItems>
    </cacheField>
    <cacheField name="category" numFmtId="0">
      <sharedItems count="3">
        <s v="Basquete"/>
        <s v="Running"/>
        <s v="Casual"/>
      </sharedItems>
    </cacheField>
    <cacheField name="collection_year" numFmtId="0">
      <sharedItems containsSemiMixedTypes="0" containsString="0" containsNumber="1" containsInteger="1" minValue="2022" maxValue="2024"/>
    </cacheField>
    <cacheField name="size" numFmtId="0">
      <sharedItems containsSemiMixedTypes="0" containsString="0" containsNumber="1" containsInteger="1" minValue="37" maxValue="42"/>
    </cacheField>
    <cacheField name="colorway" numFmtId="0">
      <sharedItems/>
    </cacheField>
    <cacheField name="units_sold" numFmtId="1">
      <sharedItems containsSemiMixedTypes="0" containsString="0" containsNumber="1" containsInteger="1" minValue="1" maxValue="5"/>
    </cacheField>
    <cacheField name="unit_price" numFmtId="44">
      <sharedItems containsSemiMixedTypes="0" containsString="0" containsNumber="1" minValue="301.94" maxValue="799.22"/>
    </cacheField>
    <cacheField name="discount_applied" numFmtId="0">
      <sharedItems/>
    </cacheField>
    <cacheField name="discount_value" numFmtId="44">
      <sharedItems containsSemiMixedTypes="0" containsString="0" containsNumber="1" minValue="0" maxValue="79.92"/>
    </cacheField>
    <cacheField name="final_price" numFmtId="44">
      <sharedItems containsSemiMixedTypes="0" containsString="0" containsNumber="1" minValue="289.26" maxValue="5.0755E+16"/>
    </cacheField>
    <cacheField name="final_price_recalc" numFmtId="44">
      <sharedItems containsSemiMixedTypes="0" containsString="0" containsNumber="1" minValue="273.16999999999996" maxValue="793.06"/>
    </cacheField>
    <cacheField name="payment_method_normalize" numFmtId="44">
      <sharedItems/>
    </cacheField>
    <cacheField name="payment_method" numFmtId="0">
      <sharedItems/>
    </cacheField>
    <cacheField name="return_status_normlaize" numFmtId="0">
      <sharedItems count="3">
        <s v="Nenhuma"/>
        <s v="Em análise"/>
        <s v="Devolvido"/>
      </sharedItems>
    </cacheField>
    <cacheField name="return_status" numFmtId="0">
      <sharedItems/>
    </cacheField>
    <cacheField name="delivery_time_days" numFmtId="1">
      <sharedItems containsSemiMixedTypes="0" containsString="0" containsNumber="1" containsInteger="1" minValue="1" maxValue="15"/>
    </cacheField>
    <cacheField name="review_rating" numFmtId="1">
      <sharedItems containsSemiMixedTypes="0" containsString="0" containsNumber="1" containsInteger="1" minValue="1" maxValue="5"/>
    </cacheField>
    <cacheField name="tax_value" numFmtId="44">
      <sharedItems containsSemiMixedTypes="0" containsString="0" containsNumber="1" minValue="36.229999999999997" maxValue="95.91"/>
    </cacheField>
    <cacheField name="extra_discount_value" numFmtId="44">
      <sharedItems containsSemiMixedTypes="0" containsString="0" containsNumber="1" minValue="0" maxValue="39.96"/>
    </cacheField>
    <cacheField name="state" numFmtId="0">
      <sharedItems count="3">
        <s v="SP"/>
        <s v="BA"/>
        <s v="RJ"/>
      </sharedItems>
    </cacheField>
    <cacheField name="Coluna1" numFmtId="0">
      <sharedItems containsBlank="1"/>
    </cacheField>
  </cacheFields>
  <extLst>
    <ext xmlns:x14="http://schemas.microsoft.com/office/spreadsheetml/2009/9/main" uri="{725AE2AE-9491-48be-B2B4-4EB974FC3084}">
      <x14:pivotCacheDefinition pivotCacheId="209480747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7425"/>
    <d v="2024-12-19T00:00:00"/>
    <n v="1006"/>
    <x v="0"/>
    <s v="Nike Shopping Vila OlÃ­mpia"/>
    <s v="Sudeste"/>
    <s v="Marketplace"/>
    <s v="Marketplace"/>
    <n v="2468"/>
    <s v="Nike Stranger Things Edition"/>
    <x v="0"/>
    <x v="0"/>
    <n v="2024"/>
    <n v="41"/>
    <s v="Black/Gold"/>
    <n v="3"/>
    <n v="614.08000000000004"/>
    <s v="False"/>
    <n v="0"/>
    <n v="614.08000000000004"/>
    <n v="614.08000000000004"/>
    <s v="Cartão"/>
    <s v="CartÃ£o"/>
    <x v="0"/>
    <s v="Nenhuma"/>
    <n v="12"/>
    <n v="2"/>
    <n v="73.69"/>
    <n v="0"/>
    <x v="0"/>
    <m/>
  </r>
  <r>
    <n v="7426"/>
    <d v="2025-01-04T00:00:00"/>
    <n v="1027"/>
    <x v="1"/>
    <s v="Nike Shopping Aricanduva"/>
    <s v="Norte"/>
    <s v="Loja Física"/>
    <s v="Loja fÃ­sica"/>
    <n v="2335"/>
    <s v="Nike Harry Potter Edition"/>
    <x v="1"/>
    <x v="1"/>
    <n v="2022"/>
    <n v="37"/>
    <s v="Black/Gold"/>
    <n v="3"/>
    <n v="563.94000000000005"/>
    <s v="True"/>
    <n v="56.39"/>
    <n v="5.0755E+16"/>
    <n v="507.55000000000007"/>
    <s v="Cartão"/>
    <s v="CartÃ£o"/>
    <x v="1"/>
    <s v="Em anÃ¡lise"/>
    <n v="13"/>
    <n v="4"/>
    <n v="67.67"/>
    <n v="28.2"/>
    <x v="0"/>
    <m/>
  </r>
  <r>
    <n v="7427"/>
    <d v="2024-06-24T00:00:00"/>
    <n v="1056"/>
    <x v="2"/>
    <s v="Nike Shopping PÃ¡tio Paulista"/>
    <s v="Centro-Oeste"/>
    <s v="Loja Física"/>
    <s v="Loja fÃ­sica"/>
    <n v="2211"/>
    <s v="Nike Rick and Morty Edition"/>
    <x v="2"/>
    <x v="0"/>
    <n v="2024"/>
    <n v="38"/>
    <s v="Purple/Silver"/>
    <n v="2"/>
    <n v="756.3"/>
    <s v="True"/>
    <n v="75.63"/>
    <n v="680.67"/>
    <n v="680.67"/>
    <s v="Boleto"/>
    <s v="Boleto"/>
    <x v="2"/>
    <s v="Devolvido"/>
    <n v="6"/>
    <n v="1"/>
    <n v="90.76"/>
    <n v="37.81"/>
    <x v="0"/>
    <s v=" "/>
  </r>
  <r>
    <n v="7428"/>
    <d v="2024-06-06T00:00:00"/>
    <n v="1050"/>
    <x v="2"/>
    <s v="Nike Shopping PÃ¡tio Paulista"/>
    <s v="Norte"/>
    <s v="Marketplace"/>
    <s v="Marketplace"/>
    <n v="2840"/>
    <s v="Nike Naruto Edition"/>
    <x v="3"/>
    <x v="1"/>
    <n v="2023"/>
    <n v="41"/>
    <s v="Purple/Silver"/>
    <n v="2"/>
    <n v="535.65"/>
    <s v="False"/>
    <n v="0"/>
    <n v="535.65"/>
    <n v="535.65"/>
    <s v="Pix"/>
    <s v="Pix"/>
    <x v="1"/>
    <s v="Em anÃ¡lise"/>
    <n v="15"/>
    <n v="5"/>
    <n v="64.28"/>
    <n v="0"/>
    <x v="0"/>
    <m/>
  </r>
  <r>
    <n v="7429"/>
    <d v="2024-07-04T00:00:00"/>
    <n v="1025"/>
    <x v="3"/>
    <s v="Nike Shopping AnÃ¡lia Franco"/>
    <s v="Norte"/>
    <s v="Online"/>
    <s v="Online"/>
    <n v="2969"/>
    <s v="Nike Rick and Morty Edition"/>
    <x v="2"/>
    <x v="0"/>
    <n v="2024"/>
    <n v="42"/>
    <s v="White/Blue"/>
    <n v="4"/>
    <n v="711.58"/>
    <s v="False"/>
    <n v="0"/>
    <n v="711.58"/>
    <n v="711.58"/>
    <s v="Credito em loja"/>
    <s v="CrÃ©dito em loja"/>
    <x v="1"/>
    <s v="Em anÃ¡lise"/>
    <n v="10"/>
    <n v="5"/>
    <n v="85.39"/>
    <n v="0"/>
    <x v="1"/>
    <m/>
  </r>
  <r>
    <n v="7430"/>
    <d v="2024-07-10T00:00:00"/>
    <n v="1098"/>
    <x v="4"/>
    <s v="Nike Shopping Morumbi"/>
    <s v="Nordeste"/>
    <s v="Marketplace"/>
    <s v="Marketplace"/>
    <n v="2807"/>
    <s v="Nike Harry Potter Edition"/>
    <x v="1"/>
    <x v="2"/>
    <n v="2023"/>
    <n v="42"/>
    <s v="Purple/Silver"/>
    <n v="1"/>
    <n v="479.47"/>
    <s v="True"/>
    <n v="47.95"/>
    <n v="4.3152E+16"/>
    <n v="431.52000000000004"/>
    <s v="Credito em loja"/>
    <s v="CrÃ©dito em loja"/>
    <x v="2"/>
    <s v="Devolvido"/>
    <n v="10"/>
    <n v="5"/>
    <n v="57.54"/>
    <n v="23.97"/>
    <x v="1"/>
    <m/>
  </r>
  <r>
    <n v="7431"/>
    <d v="2024-08-27T00:00:00"/>
    <n v="1020"/>
    <x v="5"/>
    <s v="Nike Shopping Iguatemi"/>
    <s v="Centro-Oeste"/>
    <s v="Online"/>
    <s v="Online"/>
    <n v="2597"/>
    <s v="Nike One Piece Edition"/>
    <x v="4"/>
    <x v="0"/>
    <n v="2022"/>
    <n v="42"/>
    <s v="Purple/Silver"/>
    <n v="4"/>
    <n v="404.64"/>
    <s v="True"/>
    <n v="40.46"/>
    <n v="364.18"/>
    <n v="364.18"/>
    <s v="Cartão"/>
    <s v="CartÃ£o"/>
    <x v="0"/>
    <s v="Nenhuma"/>
    <n v="5"/>
    <n v="5"/>
    <n v="48.56"/>
    <n v="20.23"/>
    <x v="1"/>
    <m/>
  </r>
  <r>
    <n v="7432"/>
    <d v="2025-02-14T00:00:00"/>
    <n v="1086"/>
    <x v="6"/>
    <s v="Nike Shopping JK Iguatemi"/>
    <s v="Centro-Oeste"/>
    <s v="Online"/>
    <s v="Online"/>
    <n v="2454"/>
    <s v="Nike One Piece Edition"/>
    <x v="4"/>
    <x v="0"/>
    <n v="2022"/>
    <n v="37"/>
    <s v="Green/Yellow"/>
    <n v="3"/>
    <n v="301.94"/>
    <s v="False"/>
    <n v="0"/>
    <n v="301.94"/>
    <n v="301.94"/>
    <s v="Pix"/>
    <s v="Pix"/>
    <x v="2"/>
    <s v="Devolvido"/>
    <n v="15"/>
    <n v="3"/>
    <n v="36.229999999999997"/>
    <n v="0"/>
    <x v="0"/>
    <m/>
  </r>
  <r>
    <n v="7433"/>
    <d v="2024-10-16T00:00:00"/>
    <n v="1096"/>
    <x v="2"/>
    <s v="Nike Shopping PÃ¡tio Paulista"/>
    <s v="Nordeste"/>
    <s v="Loja Física"/>
    <s v="Loja fÃ­sica"/>
    <n v="2028"/>
    <s v="Nike Stranger Things Edition"/>
    <x v="0"/>
    <x v="0"/>
    <n v="2024"/>
    <n v="39"/>
    <s v="Purple/Silver"/>
    <n v="4"/>
    <n v="660.62"/>
    <s v="False"/>
    <n v="0"/>
    <n v="660.62"/>
    <n v="660.62"/>
    <s v="Boleto"/>
    <s v="Boleto"/>
    <x v="1"/>
    <s v="Em anÃ¡lise"/>
    <n v="13"/>
    <n v="3"/>
    <n v="79.27"/>
    <n v="0"/>
    <x v="0"/>
    <m/>
  </r>
  <r>
    <n v="7434"/>
    <d v="2024-06-02T00:00:00"/>
    <n v="1069"/>
    <x v="0"/>
    <s v="Nike Shopping Vila OlÃ­mpia"/>
    <s v="Norte"/>
    <s v="Loja Física"/>
    <s v="Loja fÃ­sica"/>
    <n v="2064"/>
    <s v="Nike Harry Potter Edition"/>
    <x v="1"/>
    <x v="0"/>
    <n v="2024"/>
    <n v="40"/>
    <s v="White/Blue"/>
    <n v="2"/>
    <n v="333.07"/>
    <s v="False"/>
    <n v="0"/>
    <n v="333.07"/>
    <n v="333.07"/>
    <s v="Boleto"/>
    <s v="Boleto"/>
    <x v="2"/>
    <s v="Devolvido"/>
    <n v="11"/>
    <n v="4"/>
    <n v="39.97"/>
    <n v="0"/>
    <x v="1"/>
    <m/>
  </r>
  <r>
    <n v="7435"/>
    <d v="2024-08-26T00:00:00"/>
    <n v="1008"/>
    <x v="7"/>
    <s v="Nike Shopping Metropolitano"/>
    <s v="Centro-Oeste"/>
    <s v="Loja Física"/>
    <s v="Loja fÃ­sica"/>
    <n v="2763"/>
    <s v="Nike One Piece Edition"/>
    <x v="5"/>
    <x v="1"/>
    <n v="2024"/>
    <n v="37"/>
    <s v="Green/Yellow"/>
    <n v="1"/>
    <n v="785.06"/>
    <s v="True"/>
    <n v="78.510000000000005"/>
    <n v="706.55"/>
    <n v="706.55"/>
    <s v="Credito em loja"/>
    <s v="CrÃ©dito em loja"/>
    <x v="1"/>
    <s v="Em anÃ¡lise"/>
    <n v="13"/>
    <n v="1"/>
    <n v="94.21"/>
    <n v="39.25"/>
    <x v="2"/>
    <m/>
  </r>
  <r>
    <n v="7436"/>
    <d v="2024-09-13T00:00:00"/>
    <n v="1076"/>
    <x v="8"/>
    <s v="Nike Shopping Paralela"/>
    <s v="Norte"/>
    <s v="Marketplace"/>
    <s v="Marketplace"/>
    <n v="2453"/>
    <s v="Nike The Mandalorian Edition"/>
    <x v="6"/>
    <x v="1"/>
    <n v="2023"/>
    <n v="39"/>
    <s v="Black/Gold"/>
    <n v="4"/>
    <n v="696.78"/>
    <s v="True"/>
    <n v="69.680000000000007"/>
    <n v="6270999999999990"/>
    <n v="627.09999999999991"/>
    <s v="Credito em loja"/>
    <s v="CrÃ©dito em loja"/>
    <x v="0"/>
    <s v="Nenhuma"/>
    <n v="5"/>
    <n v="1"/>
    <n v="83.61"/>
    <n v="34.840000000000003"/>
    <x v="1"/>
    <m/>
  </r>
  <r>
    <n v="7437"/>
    <d v="2024-12-23T00:00:00"/>
    <n v="1027"/>
    <x v="8"/>
    <s v="Nike Shopping Paralela"/>
    <s v="Sul"/>
    <s v="Online"/>
    <s v="Online"/>
    <n v="2312"/>
    <s v="Nike Stranger Things Edition"/>
    <x v="5"/>
    <x v="0"/>
    <n v="2022"/>
    <n v="39"/>
    <s v="Purple/Silver"/>
    <n v="4"/>
    <n v="462.91"/>
    <s v="False"/>
    <n v="0"/>
    <n v="462.91"/>
    <n v="462.91"/>
    <s v="Boleto"/>
    <s v="Boleto"/>
    <x v="0"/>
    <s v="Nenhuma"/>
    <n v="7"/>
    <n v="3"/>
    <n v="55.55"/>
    <n v="0"/>
    <x v="1"/>
    <m/>
  </r>
  <r>
    <n v="7438"/>
    <d v="2025-02-14T00:00:00"/>
    <n v="1058"/>
    <x v="9"/>
    <s v="Nike Shopping Cidade SÃ£o Paulo"/>
    <s v="Centro-Oeste"/>
    <s v="Loja Física"/>
    <s v="Loja fÃ­sica"/>
    <n v="2507"/>
    <s v="Nike Naruto Edition"/>
    <x v="0"/>
    <x v="1"/>
    <n v="2022"/>
    <n v="41"/>
    <s v="Red/Black"/>
    <n v="5"/>
    <n v="707.84"/>
    <s v="True"/>
    <n v="70.78"/>
    <n v="6370600000000000"/>
    <n v="637.06000000000006"/>
    <s v="Boleto"/>
    <s v="Boleto"/>
    <x v="2"/>
    <s v="Devolvido"/>
    <n v="14"/>
    <n v="2"/>
    <n v="84.94"/>
    <n v="35.39"/>
    <x v="0"/>
    <m/>
  </r>
  <r>
    <n v="7439"/>
    <d v="2024-11-14T00:00:00"/>
    <n v="1016"/>
    <x v="10"/>
    <s v="Nike Plaza Shopping NiterÃ³i"/>
    <s v="Norte"/>
    <s v="Marketplace"/>
    <s v="Marketplace"/>
    <n v="2268"/>
    <s v="Nike Rick and Morty Edition"/>
    <x v="0"/>
    <x v="0"/>
    <n v="2022"/>
    <n v="41"/>
    <s v="Black/Gold"/>
    <n v="3"/>
    <n v="466.13"/>
    <s v="False"/>
    <n v="0"/>
    <n v="466.13"/>
    <n v="466.13"/>
    <s v="Pix"/>
    <s v="Pix"/>
    <x v="2"/>
    <s v="Devolvido"/>
    <n v="13"/>
    <n v="2"/>
    <n v="55.94"/>
    <n v="0"/>
    <x v="2"/>
    <m/>
  </r>
  <r>
    <n v="7440"/>
    <d v="2024-09-01T00:00:00"/>
    <n v="1022"/>
    <x v="11"/>
    <s v="Nike Shopping RioSul"/>
    <s v="Norte"/>
    <s v="Marketplace"/>
    <s v="Marketplace"/>
    <n v="2338"/>
    <s v="Nike One Piece Edition"/>
    <x v="3"/>
    <x v="1"/>
    <n v="2022"/>
    <n v="38"/>
    <s v="White/Blue"/>
    <n v="2"/>
    <n v="328.37"/>
    <s v="False"/>
    <n v="0"/>
    <n v="328.37"/>
    <n v="328.37"/>
    <s v="Pix"/>
    <s v="Pix"/>
    <x v="2"/>
    <s v="Devolvido"/>
    <n v="7"/>
    <n v="4"/>
    <n v="39.4"/>
    <n v="0"/>
    <x v="2"/>
    <m/>
  </r>
  <r>
    <n v="7441"/>
    <d v="2024-07-30T00:00:00"/>
    <n v="1076"/>
    <x v="2"/>
    <s v="Nike Shopping PÃ¡tio Paulista"/>
    <s v="Nordeste"/>
    <s v="Online"/>
    <s v="Online"/>
    <n v="2579"/>
    <s v="Nike The Mandalorian Edition"/>
    <x v="7"/>
    <x v="1"/>
    <n v="2022"/>
    <n v="39"/>
    <s v="Purple/Silver"/>
    <n v="5"/>
    <n v="454.35"/>
    <s v="False"/>
    <n v="0"/>
    <n v="454.35"/>
    <n v="454.35"/>
    <s v="Cartão"/>
    <s v="CartÃ£o"/>
    <x v="2"/>
    <s v="Devolvido"/>
    <n v="4"/>
    <n v="1"/>
    <n v="54.52"/>
    <n v="0"/>
    <x v="0"/>
    <m/>
  </r>
  <r>
    <n v="7442"/>
    <d v="2024-09-24T00:00:00"/>
    <n v="1020"/>
    <x v="12"/>
    <s v="Nike Shopping Itaigara"/>
    <s v="Nordeste"/>
    <s v="Online"/>
    <s v="Online"/>
    <n v="2007"/>
    <s v="Nike Loki Edition"/>
    <x v="1"/>
    <x v="1"/>
    <n v="2023"/>
    <n v="40"/>
    <s v="Red/Black"/>
    <n v="3"/>
    <n v="424.33"/>
    <s v="True"/>
    <n v="42.43"/>
    <n v="381.9"/>
    <n v="381.9"/>
    <s v="Boleto"/>
    <s v="Boleto"/>
    <x v="1"/>
    <s v="Em anÃ¡lise"/>
    <n v="8"/>
    <n v="1"/>
    <n v="50.92"/>
    <n v="21.22"/>
    <x v="1"/>
    <m/>
  </r>
  <r>
    <n v="7443"/>
    <d v="2025-04-15T00:00:00"/>
    <n v="1089"/>
    <x v="13"/>
    <s v="Nike AmÃ©ricas Shopping"/>
    <s v="Centro-Oeste"/>
    <s v="Online"/>
    <s v="Online"/>
    <n v="2412"/>
    <s v="Nike The Mandalorian Edition"/>
    <x v="0"/>
    <x v="1"/>
    <n v="2024"/>
    <n v="37"/>
    <s v="White/Blue"/>
    <n v="3"/>
    <n v="517.19000000000005"/>
    <s v="True"/>
    <n v="51.72"/>
    <n v="465.47"/>
    <n v="465.47"/>
    <s v="Credito em loja"/>
    <s v="CrÃ©dito em loja"/>
    <x v="0"/>
    <s v="Nenhuma"/>
    <n v="15"/>
    <n v="3"/>
    <n v="62.06"/>
    <n v="25.86"/>
    <x v="2"/>
    <m/>
  </r>
  <r>
    <n v="7444"/>
    <d v="2025-03-31T00:00:00"/>
    <n v="1049"/>
    <x v="14"/>
    <s v="Nike Shopping Leblon"/>
    <s v="Nordeste"/>
    <s v="Marketplace"/>
    <s v="Marketplace"/>
    <n v="2425"/>
    <s v="Nike Rick and Morty Edition"/>
    <x v="1"/>
    <x v="0"/>
    <n v="2024"/>
    <n v="40"/>
    <s v="White/Blue"/>
    <n v="2"/>
    <n v="447.91"/>
    <s v="False"/>
    <n v="0"/>
    <n v="447.91"/>
    <n v="447.91"/>
    <s v="Credito em loja"/>
    <s v="CrÃ©dito em loja"/>
    <x v="2"/>
    <s v="Devolvido"/>
    <n v="5"/>
    <n v="5"/>
    <n v="53.75"/>
    <n v="0"/>
    <x v="2"/>
    <m/>
  </r>
  <r>
    <n v="7445"/>
    <d v="2024-11-22T00:00:00"/>
    <n v="1052"/>
    <x v="15"/>
    <s v="Nike Boulevard Shopping"/>
    <s v="Centro-Oeste"/>
    <s v="Online"/>
    <s v="Online"/>
    <n v="2961"/>
    <s v="Nike Loki Edition"/>
    <x v="5"/>
    <x v="1"/>
    <n v="2024"/>
    <n v="41"/>
    <s v="Purple/Silver"/>
    <n v="1"/>
    <n v="774.5"/>
    <s v="True"/>
    <n v="77.45"/>
    <n v="697.05"/>
    <n v="697.05"/>
    <s v="Pix"/>
    <s v="Pix"/>
    <x v="2"/>
    <s v="Devolvido"/>
    <n v="15"/>
    <n v="2"/>
    <n v="92.94"/>
    <n v="38.729999999999997"/>
    <x v="1"/>
    <m/>
  </r>
  <r>
    <n v="7446"/>
    <d v="2024-06-05T00:00:00"/>
    <n v="1083"/>
    <x v="11"/>
    <s v="Nike Shopping RioSul"/>
    <s v="Sul"/>
    <s v="Marketplace"/>
    <s v="Marketplace"/>
    <n v="2116"/>
    <s v="Nike Harry Potter Edition"/>
    <x v="1"/>
    <x v="0"/>
    <n v="2024"/>
    <n v="42"/>
    <s v="White/Blue"/>
    <n v="4"/>
    <n v="303.08999999999997"/>
    <s v="False"/>
    <n v="0"/>
    <n v="303.08999999999997"/>
    <n v="303.08999999999997"/>
    <s v="Pix"/>
    <s v="Pix"/>
    <x v="0"/>
    <s v="Nenhuma"/>
    <n v="4"/>
    <n v="5"/>
    <n v="36.369999999999997"/>
    <n v="0"/>
    <x v="2"/>
    <m/>
  </r>
  <r>
    <n v="7447"/>
    <d v="2024-08-18T00:00:00"/>
    <n v="1062"/>
    <x v="16"/>
    <s v="Nike Salvador Shopping"/>
    <s v="Sul"/>
    <s v="Loja Física"/>
    <s v="Loja fÃ­sica"/>
    <n v="2504"/>
    <s v="Nike Harry Potter Edition"/>
    <x v="5"/>
    <x v="2"/>
    <n v="2023"/>
    <n v="42"/>
    <s v="Green/Yellow"/>
    <n v="4"/>
    <n v="781.71"/>
    <s v="False"/>
    <n v="0"/>
    <n v="781.71"/>
    <n v="781.71"/>
    <s v="Boleto"/>
    <s v="Boleto"/>
    <x v="1"/>
    <s v="Em anÃ¡lise"/>
    <n v="13"/>
    <n v="5"/>
    <n v="93.81"/>
    <n v="0"/>
    <x v="1"/>
    <m/>
  </r>
  <r>
    <n v="7448"/>
    <d v="2025-01-15T00:00:00"/>
    <n v="1072"/>
    <x v="12"/>
    <s v="Nike Shopping Itaigara"/>
    <s v="Sul"/>
    <s v="Marketplace"/>
    <s v="Marketplace"/>
    <n v="2369"/>
    <s v="Nike Loki Edition"/>
    <x v="2"/>
    <x v="2"/>
    <n v="2023"/>
    <n v="41"/>
    <s v="Green/Yellow"/>
    <n v="2"/>
    <n v="553.91"/>
    <s v="False"/>
    <n v="0"/>
    <n v="553.91"/>
    <n v="553.91"/>
    <s v="Credito em loja"/>
    <s v="CrÃ©dito em loja"/>
    <x v="0"/>
    <s v="Nenhuma"/>
    <n v="10"/>
    <n v="1"/>
    <n v="66.47"/>
    <n v="0"/>
    <x v="1"/>
    <m/>
  </r>
  <r>
    <n v="7449"/>
    <d v="2025-03-01T00:00:00"/>
    <n v="1072"/>
    <x v="17"/>
    <s v="Nike Shopping Bela Vista"/>
    <s v="Centro-Oeste"/>
    <s v="Loja Física"/>
    <s v="Loja fÃ­sica"/>
    <n v="2167"/>
    <s v="Nike Naruto Edition"/>
    <x v="1"/>
    <x v="1"/>
    <n v="2023"/>
    <n v="42"/>
    <s v="Purple/Silver"/>
    <n v="5"/>
    <n v="503.53"/>
    <s v="True"/>
    <n v="50.35"/>
    <n v="4.5317999999999904E+16"/>
    <n v="453.17999999999995"/>
    <s v="Boleto"/>
    <s v="Boleto"/>
    <x v="0"/>
    <s v="Nenhuma"/>
    <n v="11"/>
    <n v="4"/>
    <n v="60.42"/>
    <n v="25.18"/>
    <x v="1"/>
    <m/>
  </r>
  <r>
    <n v="7450"/>
    <d v="2024-12-09T00:00:00"/>
    <n v="1019"/>
    <x v="0"/>
    <s v="Nike Shopping Vila OlÃ­mpia"/>
    <s v="Norte"/>
    <s v="Marketplace"/>
    <s v="Marketplace"/>
    <n v="2569"/>
    <s v="Nike The Mandalorian Edition"/>
    <x v="5"/>
    <x v="1"/>
    <n v="2023"/>
    <n v="38"/>
    <s v="White/Blue"/>
    <n v="3"/>
    <n v="454.72"/>
    <s v="True"/>
    <n v="45.47"/>
    <n v="409.25"/>
    <n v="409.25"/>
    <s v="Boleto"/>
    <s v="Boleto"/>
    <x v="0"/>
    <s v="Nenhuma"/>
    <n v="14"/>
    <n v="5"/>
    <n v="54.57"/>
    <n v="22.74"/>
    <x v="0"/>
    <m/>
  </r>
  <r>
    <n v="7451"/>
    <d v="2025-01-04T00:00:00"/>
    <n v="1100"/>
    <x v="11"/>
    <s v="Nike Shopping RioSul"/>
    <s v="Norte"/>
    <s v="Marketplace"/>
    <s v="Marketplace"/>
    <n v="2970"/>
    <s v="Nike Dragon Ball Edition"/>
    <x v="6"/>
    <x v="0"/>
    <n v="2024"/>
    <n v="42"/>
    <s v="Green/Yellow"/>
    <n v="5"/>
    <n v="694.39"/>
    <s v="False"/>
    <n v="0"/>
    <n v="694.39"/>
    <n v="694.39"/>
    <s v="Credito em loja"/>
    <s v="CrÃ©dito em loja"/>
    <x v="0"/>
    <s v="Nenhuma"/>
    <n v="11"/>
    <n v="1"/>
    <n v="83.33"/>
    <n v="0"/>
    <x v="2"/>
    <m/>
  </r>
  <r>
    <n v="7452"/>
    <d v="2025-02-23T00:00:00"/>
    <n v="1012"/>
    <x v="18"/>
    <s v="Nike BarraShopping"/>
    <s v="Nordeste"/>
    <s v="Marketplace"/>
    <s v="Marketplace"/>
    <n v="2185"/>
    <s v="Nike Harry Potter Edition"/>
    <x v="2"/>
    <x v="2"/>
    <n v="2022"/>
    <n v="41"/>
    <s v="Green/Yellow"/>
    <n v="5"/>
    <n v="352.01"/>
    <s v="True"/>
    <n v="35.200000000000003"/>
    <n v="316.81"/>
    <n v="316.81"/>
    <s v="Cartão"/>
    <s v="CartÃ£o"/>
    <x v="1"/>
    <s v="Em anÃ¡lise"/>
    <n v="9"/>
    <n v="5"/>
    <n v="42.24"/>
    <n v="17.600000000000001"/>
    <x v="2"/>
    <m/>
  </r>
  <r>
    <n v="7453"/>
    <d v="2024-12-26T00:00:00"/>
    <n v="1080"/>
    <x v="19"/>
    <s v="Nike Shopping Barra"/>
    <s v="Centro-Oeste"/>
    <s v="Marketplace"/>
    <s v="Marketplace"/>
    <n v="2673"/>
    <s v="Nike Loki Edition"/>
    <x v="6"/>
    <x v="2"/>
    <n v="2023"/>
    <n v="41"/>
    <s v="Green/Yellow"/>
    <n v="2"/>
    <n v="516.5"/>
    <s v="True"/>
    <n v="51.65"/>
    <n v="464.85"/>
    <n v="464.85"/>
    <s v="Cartão"/>
    <s v="CartÃ£o"/>
    <x v="1"/>
    <s v="Em anÃ¡lise"/>
    <n v="8"/>
    <n v="3"/>
    <n v="61.98"/>
    <n v="25.83"/>
    <x v="1"/>
    <m/>
  </r>
  <r>
    <n v="7454"/>
    <d v="2024-07-05T00:00:00"/>
    <n v="1055"/>
    <x v="20"/>
    <s v="Nike Shopping da Bahia"/>
    <s v="Sul"/>
    <s v="Marketplace"/>
    <s v="Marketplace"/>
    <n v="2220"/>
    <s v="Nike Stranger Things Edition"/>
    <x v="7"/>
    <x v="0"/>
    <n v="2023"/>
    <n v="38"/>
    <s v="Green/Yellow"/>
    <n v="4"/>
    <n v="799.22"/>
    <s v="True"/>
    <n v="79.92"/>
    <n v="7193000000000000"/>
    <n v="719.30000000000007"/>
    <s v="Boleto"/>
    <s v="Boleto"/>
    <x v="0"/>
    <s v="Nenhuma"/>
    <n v="1"/>
    <n v="3"/>
    <n v="95.91"/>
    <n v="39.96"/>
    <x v="1"/>
    <m/>
  </r>
  <r>
    <n v="7455"/>
    <d v="2024-12-26T00:00:00"/>
    <n v="1019"/>
    <x v="10"/>
    <s v="Nike Plaza Shopping NiterÃ³i"/>
    <s v="Norte"/>
    <s v="Loja Física"/>
    <s v="Loja fÃ­sica"/>
    <n v="2352"/>
    <s v="Nike The Mandalorian Edition"/>
    <x v="2"/>
    <x v="2"/>
    <n v="2024"/>
    <n v="38"/>
    <s v="White/Blue"/>
    <n v="5"/>
    <n v="741.56"/>
    <s v="False"/>
    <n v="0"/>
    <n v="741.56"/>
    <n v="741.56"/>
    <s v="Pix"/>
    <s v="Pix"/>
    <x v="2"/>
    <s v="Devolvido"/>
    <n v="5"/>
    <n v="1"/>
    <n v="88.99"/>
    <n v="0"/>
    <x v="2"/>
    <m/>
  </r>
  <r>
    <n v="7456"/>
    <d v="2024-12-25T00:00:00"/>
    <n v="1014"/>
    <x v="9"/>
    <s v="Nike Shopping Cidade SÃ£o Paulo"/>
    <s v="Norte"/>
    <s v="Loja Física"/>
    <s v="Loja fÃ­sica"/>
    <n v="2435"/>
    <s v="Nike Harry Potter Edition"/>
    <x v="0"/>
    <x v="0"/>
    <n v="2023"/>
    <n v="41"/>
    <s v="White/Blue"/>
    <n v="2"/>
    <n v="709.55"/>
    <s v="True"/>
    <n v="70.95"/>
    <n v="6385999999999990"/>
    <n v="638.59999999999991"/>
    <s v="Boleto"/>
    <s v="Boleto"/>
    <x v="0"/>
    <s v="Nenhuma"/>
    <n v="3"/>
    <n v="5"/>
    <n v="85.15"/>
    <n v="35.479999999999997"/>
    <x v="0"/>
    <m/>
  </r>
  <r>
    <n v="7457"/>
    <d v="2024-11-01T00:00:00"/>
    <n v="1093"/>
    <x v="21"/>
    <s v="Nike Shopping Via Parque"/>
    <s v="Nordeste"/>
    <s v="Marketplace"/>
    <s v="Marketplace"/>
    <n v="2364"/>
    <s v="Nike Loki Edition"/>
    <x v="3"/>
    <x v="1"/>
    <n v="2022"/>
    <n v="41"/>
    <s v="Black/Gold"/>
    <n v="4"/>
    <n v="553.84"/>
    <s v="True"/>
    <n v="55.38"/>
    <n v="4.9846E+16"/>
    <n v="498.46000000000004"/>
    <s v="Pix"/>
    <s v="Pix"/>
    <x v="1"/>
    <s v="Em anÃ¡lise"/>
    <n v="13"/>
    <n v="5"/>
    <n v="66.459999999999994"/>
    <n v="27.69"/>
    <x v="2"/>
    <m/>
  </r>
  <r>
    <n v="7458"/>
    <d v="2024-08-01T00:00:00"/>
    <n v="1056"/>
    <x v="22"/>
    <s v="Nike Shopping Paseo"/>
    <s v="Sudeste"/>
    <s v="Loja Física"/>
    <s v="Loja fÃ­sica"/>
    <n v="2895"/>
    <s v="Nike Dragon Ball Edition"/>
    <x v="4"/>
    <x v="1"/>
    <n v="2022"/>
    <n v="40"/>
    <s v="Green/Yellow"/>
    <n v="4"/>
    <n v="337.28"/>
    <s v="False"/>
    <n v="0"/>
    <n v="337.28"/>
    <n v="337.28"/>
    <s v="Pix"/>
    <s v="Pix"/>
    <x v="1"/>
    <s v="Em anÃ¡lise"/>
    <n v="11"/>
    <n v="5"/>
    <n v="40.47"/>
    <n v="0"/>
    <x v="1"/>
    <m/>
  </r>
  <r>
    <n v="7459"/>
    <d v="2024-12-03T00:00:00"/>
    <n v="1086"/>
    <x v="23"/>
    <s v="Nike Shopping Eldorado"/>
    <s v="Sul"/>
    <s v="Online"/>
    <s v="Online"/>
    <n v="2364"/>
    <s v="Nike Rick and Morty Edition"/>
    <x v="1"/>
    <x v="1"/>
    <n v="2023"/>
    <n v="38"/>
    <s v="Red/Black"/>
    <n v="5"/>
    <n v="410.69"/>
    <s v="True"/>
    <n v="41.07"/>
    <n v="369.62"/>
    <n v="369.62"/>
    <s v="Pix"/>
    <s v="Pix"/>
    <x v="1"/>
    <s v="Em anÃ¡lise"/>
    <n v="7"/>
    <n v="1"/>
    <n v="49.28"/>
    <n v="20.53"/>
    <x v="0"/>
    <m/>
  </r>
  <r>
    <n v="7460"/>
    <d v="2025-03-30T00:00:00"/>
    <n v="1027"/>
    <x v="2"/>
    <s v="Nike Shopping PÃ¡tio Paulista"/>
    <s v="Sul"/>
    <s v="Marketplace"/>
    <s v="Marketplace"/>
    <n v="2387"/>
    <s v="Nike Dragon Ball Edition"/>
    <x v="5"/>
    <x v="0"/>
    <n v="2023"/>
    <n v="39"/>
    <s v="Red/Black"/>
    <n v="5"/>
    <n v="677.04"/>
    <s v="True"/>
    <n v="67.7"/>
    <n v="6093399999999990"/>
    <n v="609.33999999999992"/>
    <s v="Cartão"/>
    <s v="CartÃ£o"/>
    <x v="1"/>
    <s v="Em anÃ¡lise"/>
    <n v="1"/>
    <n v="2"/>
    <n v="81.239999999999995"/>
    <n v="33.85"/>
    <x v="0"/>
    <m/>
  </r>
  <r>
    <n v="7461"/>
    <d v="2025-03-14T00:00:00"/>
    <n v="1074"/>
    <x v="13"/>
    <s v="Nike AmÃ©ricas Shopping"/>
    <s v="Nordeste"/>
    <s v="Loja Física"/>
    <s v="Loja fÃ­sica"/>
    <n v="2019"/>
    <s v="Nike One Piece Edition"/>
    <x v="0"/>
    <x v="0"/>
    <n v="2024"/>
    <n v="37"/>
    <s v="Purple/Silver"/>
    <n v="2"/>
    <n v="788.74"/>
    <s v="True"/>
    <n v="78.87"/>
    <n v="709.87"/>
    <n v="709.87"/>
    <s v="Boleto"/>
    <s v="Boleto"/>
    <x v="1"/>
    <s v="Em anÃ¡lise"/>
    <n v="11"/>
    <n v="4"/>
    <n v="94.65"/>
    <n v="39.44"/>
    <x v="2"/>
    <m/>
  </r>
  <r>
    <n v="7462"/>
    <d v="2024-06-13T00:00:00"/>
    <n v="1064"/>
    <x v="24"/>
    <s v="Nike Shopping Salvador Norte"/>
    <s v="Nordeste"/>
    <s v="Loja Física"/>
    <s v="Loja fÃ­sica"/>
    <n v="2987"/>
    <s v="Nike One Piece Edition"/>
    <x v="0"/>
    <x v="2"/>
    <n v="2024"/>
    <n v="41"/>
    <s v="Green/Yellow"/>
    <n v="4"/>
    <n v="631.16999999999996"/>
    <s v="False"/>
    <n v="0"/>
    <n v="631.16999999999996"/>
    <n v="631.16999999999996"/>
    <s v="Cartão"/>
    <s v="CartÃ£o"/>
    <x v="2"/>
    <s v="Devolvido"/>
    <n v="5"/>
    <n v="2"/>
    <n v="75.739999999999995"/>
    <n v="0"/>
    <x v="1"/>
    <m/>
  </r>
  <r>
    <n v="7463"/>
    <d v="2024-07-27T00:00:00"/>
    <n v="1028"/>
    <x v="11"/>
    <s v="Nike Shopping RioSul"/>
    <s v="Nordeste"/>
    <s v="Marketplace"/>
    <s v="Marketplace"/>
    <n v="2003"/>
    <s v="Nike Rick and Morty Edition"/>
    <x v="7"/>
    <x v="2"/>
    <n v="2023"/>
    <n v="41"/>
    <s v="Red/Black"/>
    <n v="5"/>
    <n v="388.53"/>
    <s v="True"/>
    <n v="38.85"/>
    <n v="3.49679999999999E+16"/>
    <n v="349.67999999999995"/>
    <s v="Boleto"/>
    <s v="Boleto"/>
    <x v="0"/>
    <s v="Nenhuma"/>
    <n v="13"/>
    <n v="2"/>
    <n v="46.62"/>
    <n v="19.43"/>
    <x v="2"/>
    <m/>
  </r>
  <r>
    <n v="7464"/>
    <d v="2025-03-06T00:00:00"/>
    <n v="1058"/>
    <x v="22"/>
    <s v="Nike Shopping Paseo"/>
    <s v="Nordeste"/>
    <s v="Loja Física"/>
    <s v="Loja fÃ­sica"/>
    <n v="2828"/>
    <s v="Nike Naruto Edition"/>
    <x v="7"/>
    <x v="2"/>
    <n v="2024"/>
    <n v="40"/>
    <s v="Green/Yellow"/>
    <n v="2"/>
    <n v="410.13"/>
    <s v="False"/>
    <n v="0"/>
    <n v="410.13"/>
    <n v="410.13"/>
    <s v="Boleto"/>
    <s v="Boleto"/>
    <x v="0"/>
    <s v="Nenhuma"/>
    <n v="14"/>
    <n v="4"/>
    <n v="49.22"/>
    <n v="0"/>
    <x v="1"/>
    <m/>
  </r>
  <r>
    <n v="7465"/>
    <d v="2025-04-16T00:00:00"/>
    <n v="1022"/>
    <x v="16"/>
    <s v="Nike Salvador Shopping"/>
    <s v="Centro-Oeste"/>
    <s v="Marketplace"/>
    <s v="Marketplace"/>
    <n v="2798"/>
    <s v="Nike Stranger Things Edition"/>
    <x v="7"/>
    <x v="0"/>
    <n v="2023"/>
    <n v="37"/>
    <s v="Purple/Silver"/>
    <n v="4"/>
    <n v="608.6"/>
    <s v="False"/>
    <n v="0"/>
    <n v="608.6"/>
    <n v="608.6"/>
    <s v="Boleto"/>
    <s v="Boleto"/>
    <x v="1"/>
    <s v="Em anÃ¡lise"/>
    <n v="1"/>
    <n v="1"/>
    <n v="73.03"/>
    <n v="0"/>
    <x v="1"/>
    <m/>
  </r>
  <r>
    <n v="7466"/>
    <d v="2024-12-08T00:00:00"/>
    <n v="1094"/>
    <x v="8"/>
    <s v="Nike Shopping Paralela"/>
    <s v="Sul"/>
    <s v="Marketplace"/>
    <s v="Marketplace"/>
    <n v="2791"/>
    <s v="Nike Loki Edition"/>
    <x v="0"/>
    <x v="1"/>
    <n v="2024"/>
    <n v="41"/>
    <s v="White/Blue"/>
    <n v="1"/>
    <n v="592.63"/>
    <s v="True"/>
    <n v="59.26"/>
    <n v="533.37"/>
    <n v="533.37"/>
    <s v="Boleto"/>
    <s v="Boleto"/>
    <x v="1"/>
    <s v="Em anÃ¡lise"/>
    <n v="11"/>
    <n v="5"/>
    <n v="71.12"/>
    <n v="29.63"/>
    <x v="1"/>
    <m/>
  </r>
  <r>
    <n v="7467"/>
    <d v="2024-10-06T00:00:00"/>
    <n v="1047"/>
    <x v="19"/>
    <s v="Nike Shopping Barra"/>
    <s v="Centro-Oeste"/>
    <s v="Online"/>
    <s v="Online"/>
    <n v="2806"/>
    <s v="Nike Naruto Edition"/>
    <x v="2"/>
    <x v="1"/>
    <n v="2022"/>
    <n v="39"/>
    <s v="White/Blue"/>
    <n v="2"/>
    <n v="345.7"/>
    <s v="True"/>
    <n v="34.57"/>
    <n v="311.13"/>
    <n v="311.13"/>
    <s v="Cartão"/>
    <s v="CartÃ£o"/>
    <x v="1"/>
    <s v="Em anÃ¡lise"/>
    <n v="10"/>
    <n v="1"/>
    <n v="41.48"/>
    <n v="17.29"/>
    <x v="1"/>
    <m/>
  </r>
  <r>
    <n v="7468"/>
    <d v="2025-03-03T00:00:00"/>
    <n v="1019"/>
    <x v="17"/>
    <s v="Nike Shopping Bela Vista"/>
    <s v="Nordeste"/>
    <s v="Marketplace"/>
    <s v="Marketplace"/>
    <n v="2819"/>
    <s v="Nike Harry Potter Edition"/>
    <x v="4"/>
    <x v="1"/>
    <n v="2022"/>
    <n v="38"/>
    <s v="Green/Yellow"/>
    <n v="4"/>
    <n v="490.06"/>
    <s v="False"/>
    <n v="0"/>
    <n v="490.06"/>
    <n v="490.06"/>
    <s v="Pix"/>
    <s v="Pix"/>
    <x v="2"/>
    <s v="Devolvido"/>
    <n v="14"/>
    <n v="1"/>
    <n v="58.81"/>
    <n v="0"/>
    <x v="1"/>
    <m/>
  </r>
  <r>
    <n v="7469"/>
    <d v="2024-07-04T00:00:00"/>
    <n v="1018"/>
    <x v="24"/>
    <s v="Nike Shopping Salvador Norte"/>
    <s v="Centro-Oeste"/>
    <s v="Online"/>
    <s v="Online"/>
    <n v="2469"/>
    <s v="Nike Harry Potter Edition"/>
    <x v="1"/>
    <x v="2"/>
    <n v="2024"/>
    <n v="37"/>
    <s v="Red/Black"/>
    <n v="1"/>
    <n v="663.78"/>
    <s v="False"/>
    <n v="0"/>
    <n v="663.78"/>
    <n v="663.78"/>
    <s v="Credito em loja"/>
    <s v="CrÃ©dito em loja"/>
    <x v="0"/>
    <s v="Nenhuma"/>
    <n v="6"/>
    <n v="4"/>
    <n v="79.650000000000006"/>
    <n v="0"/>
    <x v="1"/>
    <m/>
  </r>
  <r>
    <n v="7470"/>
    <d v="2024-05-25T00:00:00"/>
    <n v="1048"/>
    <x v="11"/>
    <s v="Nike Shopping RioSul"/>
    <s v="Centro-Oeste"/>
    <s v="Online"/>
    <s v="Online"/>
    <n v="2495"/>
    <s v="Nike Rick and Morty Edition"/>
    <x v="7"/>
    <x v="2"/>
    <n v="2022"/>
    <n v="41"/>
    <s v="Green/Yellow"/>
    <n v="3"/>
    <n v="688.89"/>
    <s v="True"/>
    <n v="68.89"/>
    <n v="620"/>
    <n v="620"/>
    <s v="Boleto"/>
    <s v="Boleto"/>
    <x v="1"/>
    <s v="Em anÃ¡lise"/>
    <n v="5"/>
    <n v="2"/>
    <n v="82.67"/>
    <n v="34.44"/>
    <x v="2"/>
    <m/>
  </r>
  <r>
    <n v="7471"/>
    <d v="2024-06-06T00:00:00"/>
    <n v="1058"/>
    <x v="15"/>
    <s v="Nike Boulevard Shopping"/>
    <s v="Centro-Oeste"/>
    <s v="Loja Física"/>
    <s v="Loja fÃ­sica"/>
    <n v="2117"/>
    <s v="Nike Rick and Morty Edition"/>
    <x v="1"/>
    <x v="2"/>
    <n v="2023"/>
    <n v="42"/>
    <s v="Green/Yellow"/>
    <n v="1"/>
    <n v="552.08000000000004"/>
    <s v="False"/>
    <n v="0"/>
    <n v="552.08000000000004"/>
    <n v="552.08000000000004"/>
    <s v="Boleto"/>
    <s v="Boleto"/>
    <x v="1"/>
    <s v="Em anÃ¡lise"/>
    <n v="6"/>
    <n v="1"/>
    <n v="66.25"/>
    <n v="0"/>
    <x v="1"/>
    <m/>
  </r>
  <r>
    <n v="7472"/>
    <d v="2025-01-29T00:00:00"/>
    <n v="1050"/>
    <x v="25"/>
    <s v="Nike Shopping Center Norte"/>
    <s v="Norte"/>
    <s v="Online"/>
    <s v="Online"/>
    <n v="2645"/>
    <s v="Nike Dragon Ball Edition"/>
    <x v="4"/>
    <x v="2"/>
    <n v="2023"/>
    <n v="37"/>
    <s v="Red/Black"/>
    <n v="4"/>
    <n v="364.63"/>
    <s v="False"/>
    <n v="0"/>
    <n v="364.63"/>
    <n v="364.63"/>
    <s v="Cartão"/>
    <s v="CartÃ£o"/>
    <x v="1"/>
    <s v="Em anÃ¡lise"/>
    <n v="13"/>
    <n v="1"/>
    <n v="43.76"/>
    <n v="0"/>
    <x v="0"/>
    <m/>
  </r>
  <r>
    <n v="7473"/>
    <d v="2024-09-10T00:00:00"/>
    <n v="1029"/>
    <x v="17"/>
    <s v="Nike Shopping Bela Vista"/>
    <s v="Centro-Oeste"/>
    <s v="Loja Física"/>
    <s v="Loja fÃ­sica"/>
    <n v="2993"/>
    <s v="Nike Dragon Ball Edition"/>
    <x v="3"/>
    <x v="0"/>
    <n v="2024"/>
    <n v="39"/>
    <s v="White/Blue"/>
    <n v="5"/>
    <n v="329.93"/>
    <s v="False"/>
    <n v="0"/>
    <n v="329.93"/>
    <n v="329.93"/>
    <s v="Pix"/>
    <s v="Pix"/>
    <x v="2"/>
    <s v="Devolvido"/>
    <n v="15"/>
    <n v="4"/>
    <n v="39.590000000000003"/>
    <n v="0"/>
    <x v="1"/>
    <m/>
  </r>
  <r>
    <n v="7474"/>
    <d v="2024-10-25T00:00:00"/>
    <n v="1098"/>
    <x v="13"/>
    <s v="Nike AmÃ©ricas Shopping"/>
    <s v="Norte"/>
    <s v="Loja Física"/>
    <s v="Loja fÃ­sica"/>
    <n v="2230"/>
    <s v="Nike Loki Edition"/>
    <x v="7"/>
    <x v="1"/>
    <n v="2022"/>
    <n v="40"/>
    <s v="Green/Yellow"/>
    <n v="2"/>
    <n v="585.39"/>
    <s v="True"/>
    <n v="58.54"/>
    <n v="526.85"/>
    <n v="526.85"/>
    <s v="Credito em loja"/>
    <s v="CrÃ©dito em loja"/>
    <x v="0"/>
    <s v="Nenhuma"/>
    <n v="4"/>
    <n v="2"/>
    <n v="70.25"/>
    <n v="29.27"/>
    <x v="2"/>
    <m/>
  </r>
  <r>
    <n v="7475"/>
    <d v="2025-04-22T00:00:00"/>
    <n v="1077"/>
    <x v="26"/>
    <s v="Nike Shopping Tijuca"/>
    <s v="Sul"/>
    <s v="Online"/>
    <s v="Online"/>
    <n v="2546"/>
    <s v="Nike Loki Edition"/>
    <x v="6"/>
    <x v="1"/>
    <n v="2023"/>
    <n v="38"/>
    <s v="Green/Yellow"/>
    <n v="3"/>
    <n v="481.62"/>
    <s v="False"/>
    <n v="0"/>
    <n v="481.62"/>
    <n v="481.62"/>
    <s v="Credito em loja"/>
    <s v="CrÃ©dito em loja"/>
    <x v="2"/>
    <s v="Devolvido"/>
    <n v="12"/>
    <n v="5"/>
    <n v="57.79"/>
    <n v="0"/>
    <x v="2"/>
    <m/>
  </r>
  <r>
    <n v="7476"/>
    <d v="2024-06-02T00:00:00"/>
    <n v="1038"/>
    <x v="1"/>
    <s v="Nike Shopping Aricanduva"/>
    <s v="Norte"/>
    <s v="Loja Física"/>
    <s v="Loja fÃ­sica"/>
    <n v="2348"/>
    <s v="Nike The Mandalorian Edition"/>
    <x v="5"/>
    <x v="0"/>
    <n v="2024"/>
    <n v="41"/>
    <s v="Purple/Silver"/>
    <n v="4"/>
    <n v="614.08000000000004"/>
    <s v="False"/>
    <n v="0"/>
    <n v="614.08000000000004"/>
    <n v="614.08000000000004"/>
    <s v="Pix"/>
    <s v="Pix"/>
    <x v="0"/>
    <s v="Nenhuma"/>
    <n v="10"/>
    <n v="5"/>
    <n v="73.69"/>
    <n v="0"/>
    <x v="0"/>
    <m/>
  </r>
  <r>
    <n v="7477"/>
    <d v="2025-03-14T00:00:00"/>
    <n v="1079"/>
    <x v="20"/>
    <s v="Nike Shopping da Bahia"/>
    <s v="Centro-Oeste"/>
    <s v="Loja Física"/>
    <s v="Loja fÃ­sica"/>
    <n v="2281"/>
    <s v="Nike Stranger Things Edition"/>
    <x v="7"/>
    <x v="0"/>
    <n v="2022"/>
    <n v="38"/>
    <s v="Red/Black"/>
    <n v="4"/>
    <n v="671.74"/>
    <s v="False"/>
    <n v="0"/>
    <n v="671.74"/>
    <n v="671.74"/>
    <s v="Pix"/>
    <s v="Pix"/>
    <x v="2"/>
    <s v="Devolvido"/>
    <n v="14"/>
    <n v="2"/>
    <n v="80.61"/>
    <n v="0"/>
    <x v="1"/>
    <m/>
  </r>
  <r>
    <n v="7478"/>
    <d v="2025-05-02T00:00:00"/>
    <n v="1085"/>
    <x v="10"/>
    <s v="Nike Plaza Shopping NiterÃ³i"/>
    <s v="Centro-Oeste"/>
    <s v="Loja Física"/>
    <s v="Loja fÃ­sica"/>
    <n v="2823"/>
    <s v="Nike Harry Potter Edition"/>
    <x v="6"/>
    <x v="0"/>
    <n v="2024"/>
    <n v="39"/>
    <s v="White/Blue"/>
    <n v="2"/>
    <n v="734.55"/>
    <s v="True"/>
    <n v="73.45"/>
    <n v="6610999999999990"/>
    <n v="661.09999999999991"/>
    <s v="Credito em loja"/>
    <s v="CrÃ©dito em loja"/>
    <x v="2"/>
    <s v="Devolvido"/>
    <n v="5"/>
    <n v="2"/>
    <n v="88.15"/>
    <n v="36.729999999999997"/>
    <x v="2"/>
    <m/>
  </r>
  <r>
    <n v="7479"/>
    <d v="2024-07-30T00:00:00"/>
    <n v="1073"/>
    <x v="19"/>
    <s v="Nike Shopping Barra"/>
    <s v="Sudeste"/>
    <s v="Loja Física"/>
    <s v="Loja fÃ­sica"/>
    <n v="2674"/>
    <s v="Nike Stranger Things Edition"/>
    <x v="7"/>
    <x v="2"/>
    <n v="2022"/>
    <n v="38"/>
    <s v="Red/Black"/>
    <n v="2"/>
    <n v="413.13"/>
    <s v="True"/>
    <n v="41.31"/>
    <n v="371.82"/>
    <n v="371.82"/>
    <s v="Cartão"/>
    <s v="CartÃ£o"/>
    <x v="0"/>
    <s v="Nenhuma"/>
    <n v="9"/>
    <n v="4"/>
    <n v="49.58"/>
    <n v="20.66"/>
    <x v="1"/>
    <m/>
  </r>
  <r>
    <n v="7480"/>
    <d v="2025-04-04T00:00:00"/>
    <n v="1067"/>
    <x v="24"/>
    <s v="Nike Shopping Salvador Norte"/>
    <s v="Nordeste"/>
    <s v="Loja Física"/>
    <s v="Loja fÃ­sica"/>
    <n v="2713"/>
    <s v="Nike Stranger Things Edition"/>
    <x v="0"/>
    <x v="1"/>
    <n v="2024"/>
    <n v="41"/>
    <s v="Black/Gold"/>
    <n v="4"/>
    <n v="497.96"/>
    <s v="True"/>
    <n v="49.8"/>
    <n v="4.4815999999999904E+16"/>
    <n v="448.15999999999997"/>
    <s v="Pix"/>
    <s v="Pix"/>
    <x v="1"/>
    <s v="Em anÃ¡lise"/>
    <n v="2"/>
    <n v="4"/>
    <n v="59.76"/>
    <n v="24.9"/>
    <x v="1"/>
    <m/>
  </r>
  <r>
    <n v="7481"/>
    <d v="2024-09-07T00:00:00"/>
    <n v="1077"/>
    <x v="27"/>
    <s v="Nike Shopping Center Lapa"/>
    <s v="Sul"/>
    <s v="Marketplace"/>
    <s v="Marketplace"/>
    <n v="2890"/>
    <s v="Nike Naruto Edition"/>
    <x v="3"/>
    <x v="0"/>
    <n v="2024"/>
    <n v="38"/>
    <s v="Red/Black"/>
    <n v="2"/>
    <n v="522.57000000000005"/>
    <s v="True"/>
    <n v="52.26"/>
    <n v="4.7031E+16"/>
    <n v="470.31000000000006"/>
    <s v="Cartão"/>
    <s v="CartÃ£o"/>
    <x v="1"/>
    <s v="Em anÃ¡lise"/>
    <n v="14"/>
    <n v="5"/>
    <n v="62.71"/>
    <n v="26.13"/>
    <x v="1"/>
    <m/>
  </r>
  <r>
    <n v="7482"/>
    <d v="2024-12-05T00:00:00"/>
    <n v="1034"/>
    <x v="11"/>
    <s v="Nike Shopping RioSul"/>
    <s v="Sul"/>
    <s v="Online"/>
    <s v="Online"/>
    <n v="2167"/>
    <s v="Nike The Mandalorian Edition"/>
    <x v="0"/>
    <x v="2"/>
    <n v="2023"/>
    <n v="38"/>
    <s v="White/Blue"/>
    <n v="3"/>
    <n v="334.58"/>
    <s v="False"/>
    <n v="0"/>
    <n v="334.58"/>
    <n v="334.58"/>
    <s v="Cartão"/>
    <s v="CartÃ£o"/>
    <x v="1"/>
    <s v="Em anÃ¡lise"/>
    <n v="7"/>
    <n v="5"/>
    <n v="40.15"/>
    <n v="0"/>
    <x v="2"/>
    <m/>
  </r>
  <r>
    <n v="7483"/>
    <d v="2025-02-14T00:00:00"/>
    <n v="1004"/>
    <x v="8"/>
    <s v="Nike Shopping Paralela"/>
    <s v="Nordeste"/>
    <s v="Marketplace"/>
    <s v="Marketplace"/>
    <n v="2795"/>
    <s v="Nike Naruto Edition"/>
    <x v="3"/>
    <x v="0"/>
    <n v="2024"/>
    <n v="41"/>
    <s v="Black/Gold"/>
    <n v="2"/>
    <n v="457.9"/>
    <s v="False"/>
    <n v="0"/>
    <n v="457.9"/>
    <n v="457.9"/>
    <s v="Credito em loja"/>
    <s v="CrÃ©dito em loja"/>
    <x v="0"/>
    <s v="Nenhuma"/>
    <n v="12"/>
    <n v="2"/>
    <n v="54.95"/>
    <n v="0"/>
    <x v="1"/>
    <m/>
  </r>
  <r>
    <n v="7484"/>
    <d v="2024-05-24T00:00:00"/>
    <n v="1053"/>
    <x v="12"/>
    <s v="Nike Shopping Itaigara"/>
    <s v="Sudeste"/>
    <s v="Loja Física"/>
    <s v="Loja fÃ­sica"/>
    <n v="2155"/>
    <s v="Nike Harry Potter Edition"/>
    <x v="5"/>
    <x v="0"/>
    <n v="2023"/>
    <n v="40"/>
    <s v="Purple/Silver"/>
    <n v="4"/>
    <n v="797.8"/>
    <s v="True"/>
    <n v="79.78"/>
    <n v="718.02"/>
    <n v="718.02"/>
    <s v="Cartão"/>
    <s v="CartÃ£o"/>
    <x v="1"/>
    <s v="Em anÃ¡lise"/>
    <n v="10"/>
    <n v="3"/>
    <n v="95.74"/>
    <n v="39.89"/>
    <x v="1"/>
    <m/>
  </r>
  <r>
    <n v="7485"/>
    <d v="2024-09-21T00:00:00"/>
    <n v="1036"/>
    <x v="25"/>
    <s v="Nike Shopping Center Norte"/>
    <s v="Nordeste"/>
    <s v="Online"/>
    <s v="Online"/>
    <n v="2917"/>
    <s v="Nike Loki Edition"/>
    <x v="2"/>
    <x v="2"/>
    <n v="2023"/>
    <n v="38"/>
    <s v="Green/Yellow"/>
    <n v="5"/>
    <n v="318.69"/>
    <s v="False"/>
    <n v="0"/>
    <n v="318.69"/>
    <n v="318.69"/>
    <s v="Boleto"/>
    <s v="Boleto"/>
    <x v="0"/>
    <s v="Nenhuma"/>
    <n v="2"/>
    <n v="3"/>
    <n v="38.24"/>
    <n v="0"/>
    <x v="0"/>
    <m/>
  </r>
  <r>
    <n v="7486"/>
    <d v="2024-11-16T00:00:00"/>
    <n v="1004"/>
    <x v="4"/>
    <s v="Nike Shopping Morumbi"/>
    <s v="Norte"/>
    <s v="Online"/>
    <s v="Online"/>
    <n v="2497"/>
    <s v="Nike Naruto Edition"/>
    <x v="6"/>
    <x v="2"/>
    <n v="2022"/>
    <n v="38"/>
    <s v="White/Blue"/>
    <n v="3"/>
    <n v="783.46"/>
    <s v="True"/>
    <n v="78.349999999999994"/>
    <n v="705.11"/>
    <n v="705.11"/>
    <s v="Cartão"/>
    <s v="CartÃ£o"/>
    <x v="1"/>
    <s v="Em anÃ¡lise"/>
    <n v="11"/>
    <n v="2"/>
    <n v="94.02"/>
    <n v="39.17"/>
    <x v="0"/>
    <m/>
  </r>
  <r>
    <n v="7487"/>
    <d v="2024-09-06T00:00:00"/>
    <n v="1032"/>
    <x v="0"/>
    <s v="Nike Shopping Vila OlÃ­mpia"/>
    <s v="Nordeste"/>
    <s v="Marketplace"/>
    <s v="Marketplace"/>
    <n v="2998"/>
    <s v="Nike Dragon Ball Edition"/>
    <x v="5"/>
    <x v="0"/>
    <n v="2023"/>
    <n v="41"/>
    <s v="Red/Black"/>
    <n v="3"/>
    <n v="763.78"/>
    <s v="True"/>
    <n v="76.38"/>
    <n v="687.4"/>
    <n v="687.4"/>
    <s v="Pix"/>
    <s v="Pix"/>
    <x v="0"/>
    <s v="Nenhuma"/>
    <n v="7"/>
    <n v="5"/>
    <n v="91.65"/>
    <n v="38.19"/>
    <x v="0"/>
    <m/>
  </r>
  <r>
    <n v="7488"/>
    <d v="2024-09-28T00:00:00"/>
    <n v="1010"/>
    <x v="28"/>
    <s v="Nike Shopping Nova AmÃ©rica"/>
    <s v="Nordeste"/>
    <s v="Loja Física"/>
    <s v="Loja fÃ­sica"/>
    <n v="2280"/>
    <s v="Nike The Mandalorian Edition"/>
    <x v="0"/>
    <x v="0"/>
    <n v="2024"/>
    <n v="40"/>
    <s v="Purple/Silver"/>
    <n v="1"/>
    <n v="418.56"/>
    <s v="True"/>
    <n v="41.86"/>
    <n v="376.7"/>
    <n v="376.7"/>
    <s v="Credito em loja"/>
    <s v="CrÃ©dito em loja"/>
    <x v="0"/>
    <s v="Nenhuma"/>
    <n v="14"/>
    <n v="2"/>
    <n v="50.23"/>
    <n v="20.93"/>
    <x v="2"/>
    <m/>
  </r>
  <r>
    <n v="7489"/>
    <d v="2024-08-28T00:00:00"/>
    <n v="1049"/>
    <x v="11"/>
    <s v="Nike Shopping RioSul"/>
    <s v="Sul"/>
    <s v="Online"/>
    <s v="Online"/>
    <n v="2703"/>
    <s v="Nike Loki Edition"/>
    <x v="1"/>
    <x v="1"/>
    <n v="2022"/>
    <n v="42"/>
    <s v="Black/Gold"/>
    <n v="4"/>
    <n v="591.28"/>
    <s v="True"/>
    <n v="59.13"/>
    <n v="532.15"/>
    <n v="532.15"/>
    <s v="Pix"/>
    <s v="Pix"/>
    <x v="2"/>
    <s v="Devolvido"/>
    <n v="13"/>
    <n v="5"/>
    <n v="70.95"/>
    <n v="29.56"/>
    <x v="2"/>
    <m/>
  </r>
  <r>
    <n v="7490"/>
    <d v="2024-11-20T00:00:00"/>
    <n v="1022"/>
    <x v="28"/>
    <s v="Nike Shopping Nova AmÃ©rica"/>
    <s v="Nordeste"/>
    <s v="Loja Física"/>
    <s v="Loja fÃ­sica"/>
    <n v="2758"/>
    <s v="Nike One Piece Edition"/>
    <x v="3"/>
    <x v="1"/>
    <n v="2023"/>
    <n v="42"/>
    <s v="Green/Yellow"/>
    <n v="2"/>
    <n v="408.87"/>
    <s v="False"/>
    <n v="0"/>
    <n v="408.87"/>
    <n v="408.87"/>
    <s v="Boleto"/>
    <s v="Boleto"/>
    <x v="1"/>
    <s v="Em anÃ¡lise"/>
    <n v="9"/>
    <n v="3"/>
    <n v="49.06"/>
    <n v="0"/>
    <x v="2"/>
    <m/>
  </r>
  <r>
    <n v="7491"/>
    <d v="2024-12-14T00:00:00"/>
    <n v="1093"/>
    <x v="27"/>
    <s v="Nike Shopping Center Lapa"/>
    <s v="Norte"/>
    <s v="Loja Física"/>
    <s v="Loja fÃ­sica"/>
    <n v="2856"/>
    <s v="Nike Stranger Things Edition"/>
    <x v="0"/>
    <x v="0"/>
    <n v="2023"/>
    <n v="41"/>
    <s v="Black/Gold"/>
    <n v="4"/>
    <n v="520.41999999999996"/>
    <s v="False"/>
    <n v="0"/>
    <n v="520.41999999999996"/>
    <n v="520.41999999999996"/>
    <s v="Cartão"/>
    <s v="CartÃ£o"/>
    <x v="2"/>
    <s v="Devolvido"/>
    <n v="11"/>
    <n v="1"/>
    <n v="62.45"/>
    <n v="0"/>
    <x v="1"/>
    <m/>
  </r>
  <r>
    <n v="7492"/>
    <d v="2024-10-08T00:00:00"/>
    <n v="1062"/>
    <x v="12"/>
    <s v="Nike Shopping Itaigara"/>
    <s v="Centro-Oeste"/>
    <s v="Online"/>
    <s v="Online"/>
    <n v="2995"/>
    <s v="Nike One Piece Edition"/>
    <x v="0"/>
    <x v="0"/>
    <n v="2022"/>
    <n v="38"/>
    <s v="Purple/Silver"/>
    <n v="4"/>
    <n v="711.69"/>
    <s v="True"/>
    <n v="71.17"/>
    <n v="6405200000000000"/>
    <n v="640.5200000000001"/>
    <s v="Credito em loja"/>
    <s v="CrÃ©dito em loja"/>
    <x v="1"/>
    <s v="Em anÃ¡lise"/>
    <n v="3"/>
    <n v="5"/>
    <n v="85.4"/>
    <n v="35.58"/>
    <x v="1"/>
    <m/>
  </r>
  <r>
    <n v="7493"/>
    <d v="2024-08-25T00:00:00"/>
    <n v="1091"/>
    <x v="28"/>
    <s v="Nike Shopping Nova AmÃ©rica"/>
    <s v="Sul"/>
    <s v="Marketplace"/>
    <s v="Marketplace"/>
    <n v="2257"/>
    <s v="Nike Dragon Ball Edition"/>
    <x v="5"/>
    <x v="2"/>
    <n v="2023"/>
    <n v="38"/>
    <s v="Green/Yellow"/>
    <n v="1"/>
    <n v="704.07"/>
    <s v="False"/>
    <n v="0"/>
    <n v="704.07"/>
    <n v="704.07"/>
    <s v="Boleto"/>
    <s v="Boleto"/>
    <x v="1"/>
    <s v="Em anÃ¡lise"/>
    <n v="15"/>
    <n v="5"/>
    <n v="84.49"/>
    <n v="0"/>
    <x v="2"/>
    <m/>
  </r>
  <r>
    <n v="7494"/>
    <d v="2025-03-30T00:00:00"/>
    <n v="1061"/>
    <x v="27"/>
    <s v="Nike Shopping Center Lapa"/>
    <s v="Nordeste"/>
    <s v="Online"/>
    <s v="Online"/>
    <n v="2357"/>
    <s v="Nike Harry Potter Edition"/>
    <x v="6"/>
    <x v="2"/>
    <n v="2022"/>
    <n v="39"/>
    <s v="Black/Gold"/>
    <n v="1"/>
    <n v="363.58"/>
    <s v="False"/>
    <n v="0"/>
    <n v="363.58"/>
    <n v="363.58"/>
    <s v="Cartão"/>
    <s v="CartÃ£o"/>
    <x v="0"/>
    <s v="Nenhuma"/>
    <n v="2"/>
    <n v="2"/>
    <n v="43.63"/>
    <n v="0"/>
    <x v="1"/>
    <m/>
  </r>
  <r>
    <n v="7495"/>
    <d v="2025-02-26T00:00:00"/>
    <n v="1002"/>
    <x v="19"/>
    <s v="Nike Shopping Barra"/>
    <s v="Norte"/>
    <s v="Online"/>
    <s v="Online"/>
    <n v="2076"/>
    <s v="Nike Stranger Things Edition"/>
    <x v="0"/>
    <x v="0"/>
    <n v="2024"/>
    <n v="38"/>
    <s v="Black/Gold"/>
    <n v="4"/>
    <n v="366.43"/>
    <s v="True"/>
    <n v="36.64"/>
    <n v="329.79"/>
    <n v="329.79"/>
    <s v="Boleto"/>
    <s v="Boleto"/>
    <x v="2"/>
    <s v="Devolvido"/>
    <n v="12"/>
    <n v="1"/>
    <n v="43.97"/>
    <n v="18.32"/>
    <x v="1"/>
    <m/>
  </r>
  <r>
    <n v="7496"/>
    <d v="2025-02-04T00:00:00"/>
    <n v="1069"/>
    <x v="19"/>
    <s v="Nike Shopping Barra"/>
    <s v="Sudeste"/>
    <s v="Online"/>
    <s v="Online"/>
    <n v="2776"/>
    <s v="Nike Stranger Things Edition"/>
    <x v="7"/>
    <x v="1"/>
    <n v="2023"/>
    <n v="39"/>
    <s v="Purple/Silver"/>
    <n v="4"/>
    <n v="745.49"/>
    <s v="True"/>
    <n v="74.55"/>
    <n v="670.94"/>
    <n v="670.94"/>
    <s v="Boleto"/>
    <s v="Boleto"/>
    <x v="2"/>
    <s v="Devolvido"/>
    <n v="9"/>
    <n v="5"/>
    <n v="89.46"/>
    <n v="37.270000000000003"/>
    <x v="1"/>
    <m/>
  </r>
  <r>
    <n v="7497"/>
    <d v="2024-06-19T00:00:00"/>
    <n v="1100"/>
    <x v="19"/>
    <s v="Nike Shopping Barra"/>
    <s v="Norte"/>
    <s v="Loja Física"/>
    <s v="Loja fÃ­sica"/>
    <n v="2777"/>
    <s v="Nike Loki Edition"/>
    <x v="0"/>
    <x v="2"/>
    <n v="2024"/>
    <n v="41"/>
    <s v="White/Blue"/>
    <n v="5"/>
    <n v="644.96"/>
    <s v="True"/>
    <n v="64.5"/>
    <n v="580.46"/>
    <n v="580.46"/>
    <s v="Credito em loja"/>
    <s v="CrÃ©dito em loja"/>
    <x v="2"/>
    <s v="Devolvido"/>
    <n v="7"/>
    <n v="1"/>
    <n v="77.400000000000006"/>
    <n v="32.25"/>
    <x v="1"/>
    <m/>
  </r>
  <r>
    <n v="7498"/>
    <d v="2025-03-08T00:00:00"/>
    <n v="1057"/>
    <x v="9"/>
    <s v="Nike Shopping Cidade SÃ£o Paulo"/>
    <s v="Norte"/>
    <s v="Marketplace"/>
    <s v="Marketplace"/>
    <n v="2573"/>
    <s v="Nike One Piece Edition"/>
    <x v="7"/>
    <x v="2"/>
    <n v="2024"/>
    <n v="37"/>
    <s v="Green/Yellow"/>
    <n v="3"/>
    <n v="513.92999999999995"/>
    <s v="False"/>
    <n v="0"/>
    <n v="513.92999999999995"/>
    <n v="513.92999999999995"/>
    <s v="Boleto"/>
    <s v="Boleto"/>
    <x v="1"/>
    <s v="Em anÃ¡lise"/>
    <n v="4"/>
    <n v="5"/>
    <n v="61.67"/>
    <n v="0"/>
    <x v="0"/>
    <m/>
  </r>
  <r>
    <n v="7499"/>
    <d v="2025-05-14T00:00:00"/>
    <n v="1008"/>
    <x v="18"/>
    <s v="Nike BarraShopping"/>
    <s v="Nordeste"/>
    <s v="Online"/>
    <s v="Online"/>
    <n v="2188"/>
    <s v="Nike Dragon Ball Edition"/>
    <x v="5"/>
    <x v="2"/>
    <n v="2024"/>
    <n v="39"/>
    <s v="Red/Black"/>
    <n v="5"/>
    <n v="448.12"/>
    <s v="True"/>
    <n v="44.81"/>
    <n v="403.31"/>
    <n v="403.31"/>
    <s v="Credito em loja"/>
    <s v="CrÃ©dito em loja"/>
    <x v="2"/>
    <s v="Devolvido"/>
    <n v="4"/>
    <n v="4"/>
    <n v="53.77"/>
    <n v="22.41"/>
    <x v="2"/>
    <m/>
  </r>
  <r>
    <n v="7500"/>
    <d v="2025-04-14T00:00:00"/>
    <n v="1053"/>
    <x v="28"/>
    <s v="Nike Shopping Nova AmÃ©rica"/>
    <s v="Sudeste"/>
    <s v="Marketplace"/>
    <s v="Marketplace"/>
    <n v="2154"/>
    <s v="Nike Loki Edition"/>
    <x v="6"/>
    <x v="0"/>
    <n v="2022"/>
    <n v="37"/>
    <s v="White/Blue"/>
    <n v="4"/>
    <n v="392.6"/>
    <s v="True"/>
    <n v="39.26"/>
    <n v="3.5334E+16"/>
    <n v="353.34000000000003"/>
    <s v="Cartão"/>
    <s v="CartÃ£o"/>
    <x v="1"/>
    <s v="Em anÃ¡lise"/>
    <n v="14"/>
    <n v="3"/>
    <n v="47.11"/>
    <n v="19.63"/>
    <x v="2"/>
    <m/>
  </r>
  <r>
    <n v="7501"/>
    <d v="2024-06-16T00:00:00"/>
    <n v="1059"/>
    <x v="12"/>
    <s v="Nike Shopping Itaigara"/>
    <s v="Nordeste"/>
    <s v="Loja Física"/>
    <s v="Loja fÃ­sica"/>
    <n v="2043"/>
    <s v="Nike Stranger Things Edition"/>
    <x v="3"/>
    <x v="0"/>
    <n v="2024"/>
    <n v="37"/>
    <s v="White/Blue"/>
    <n v="2"/>
    <n v="547.29999999999995"/>
    <s v="False"/>
    <n v="0"/>
    <n v="547.29999999999995"/>
    <n v="547.29999999999995"/>
    <s v="Pix"/>
    <s v="Pix"/>
    <x v="1"/>
    <s v="Em anÃ¡lise"/>
    <n v="10"/>
    <n v="2"/>
    <n v="65.680000000000007"/>
    <n v="0"/>
    <x v="1"/>
    <m/>
  </r>
  <r>
    <n v="7502"/>
    <d v="2024-11-29T00:00:00"/>
    <n v="1028"/>
    <x v="21"/>
    <s v="Nike Shopping Via Parque"/>
    <s v="Sudeste"/>
    <s v="Marketplace"/>
    <s v="Marketplace"/>
    <n v="2624"/>
    <s v="Nike Stranger Things Edition"/>
    <x v="5"/>
    <x v="1"/>
    <n v="2023"/>
    <n v="37"/>
    <s v="Purple/Silver"/>
    <n v="2"/>
    <n v="485.31"/>
    <s v="True"/>
    <n v="48.53"/>
    <n v="436.78"/>
    <n v="436.78"/>
    <s v="Cartão"/>
    <s v="CartÃ£o"/>
    <x v="0"/>
    <s v="Nenhuma"/>
    <n v="15"/>
    <n v="3"/>
    <n v="58.24"/>
    <n v="24.27"/>
    <x v="2"/>
    <m/>
  </r>
  <r>
    <n v="7503"/>
    <d v="2024-09-28T00:00:00"/>
    <n v="1000"/>
    <x v="23"/>
    <s v="Nike Shopping Eldorado"/>
    <s v="Sul"/>
    <s v="Marketplace"/>
    <s v="Marketplace"/>
    <n v="2825"/>
    <s v="Nike Stranger Things Edition"/>
    <x v="2"/>
    <x v="2"/>
    <n v="2022"/>
    <n v="38"/>
    <s v="Purple/Silver"/>
    <n v="4"/>
    <n v="437.85"/>
    <s v="False"/>
    <n v="0"/>
    <n v="437.85"/>
    <n v="437.85"/>
    <s v="Boleto"/>
    <s v="Boleto"/>
    <x v="1"/>
    <s v="Em anÃ¡lise"/>
    <n v="10"/>
    <n v="2"/>
    <n v="52.54"/>
    <n v="0"/>
    <x v="0"/>
    <m/>
  </r>
  <r>
    <n v="7504"/>
    <d v="2025-03-14T00:00:00"/>
    <n v="1077"/>
    <x v="13"/>
    <s v="Nike AmÃ©ricas Shopping"/>
    <s v="Sudeste"/>
    <s v="Marketplace"/>
    <s v="Marketplace"/>
    <n v="2119"/>
    <s v="Nike One Piece Edition"/>
    <x v="3"/>
    <x v="2"/>
    <n v="2024"/>
    <n v="37"/>
    <s v="Black/Gold"/>
    <n v="2"/>
    <n v="398.43"/>
    <s v="False"/>
    <n v="0"/>
    <n v="398.43"/>
    <n v="398.43"/>
    <s v="Boleto"/>
    <s v="Boleto"/>
    <x v="2"/>
    <s v="Devolvido"/>
    <n v="10"/>
    <n v="2"/>
    <n v="47.81"/>
    <n v="0"/>
    <x v="2"/>
    <m/>
  </r>
  <r>
    <n v="7505"/>
    <d v="2024-10-05T00:00:00"/>
    <n v="1000"/>
    <x v="9"/>
    <s v="Nike Shopping Cidade SÃ£o Paulo"/>
    <s v="Centro-Oeste"/>
    <s v="Online"/>
    <s v="Online"/>
    <n v="2640"/>
    <s v="Nike One Piece Edition"/>
    <x v="7"/>
    <x v="2"/>
    <n v="2024"/>
    <n v="39"/>
    <s v="Black/Gold"/>
    <n v="1"/>
    <n v="473.55"/>
    <s v="True"/>
    <n v="47.36"/>
    <n v="426.19"/>
    <n v="426.19"/>
    <s v="Pix"/>
    <s v="Pix"/>
    <x v="2"/>
    <s v="Devolvido"/>
    <n v="8"/>
    <n v="4"/>
    <n v="56.83"/>
    <n v="23.68"/>
    <x v="0"/>
    <m/>
  </r>
  <r>
    <n v="7506"/>
    <d v="2024-06-21T00:00:00"/>
    <n v="1082"/>
    <x v="19"/>
    <s v="Nike Shopping Barra"/>
    <s v="Sudeste"/>
    <s v="Online"/>
    <s v="Online"/>
    <n v="2115"/>
    <s v="Nike Loki Edition"/>
    <x v="3"/>
    <x v="1"/>
    <n v="2023"/>
    <n v="38"/>
    <s v="White/Blue"/>
    <n v="2"/>
    <n v="353.31"/>
    <s v="True"/>
    <n v="35.33"/>
    <n v="317.98"/>
    <n v="317.98"/>
    <s v="Cartão"/>
    <s v="CartÃ£o"/>
    <x v="0"/>
    <s v="Nenhuma"/>
    <n v="8"/>
    <n v="2"/>
    <n v="42.4"/>
    <n v="17.670000000000002"/>
    <x v="1"/>
    <m/>
  </r>
  <r>
    <n v="7507"/>
    <d v="2024-05-27T00:00:00"/>
    <n v="1098"/>
    <x v="3"/>
    <s v="Nike Shopping AnÃ¡lia Franco"/>
    <s v="Sudeste"/>
    <s v="Loja Física"/>
    <s v="Loja fÃ­sica"/>
    <n v="2298"/>
    <s v="Nike Loki Edition"/>
    <x v="3"/>
    <x v="1"/>
    <n v="2023"/>
    <n v="40"/>
    <s v="Black/Gold"/>
    <n v="5"/>
    <n v="380.81"/>
    <s v="True"/>
    <n v="38.08"/>
    <n v="342.73"/>
    <n v="342.73"/>
    <s v="Cartão"/>
    <s v="CartÃ£o"/>
    <x v="0"/>
    <s v="Nenhuma"/>
    <n v="7"/>
    <n v="5"/>
    <n v="45.7"/>
    <n v="19.04"/>
    <x v="0"/>
    <m/>
  </r>
  <r>
    <n v="7508"/>
    <d v="2025-02-25T00:00:00"/>
    <n v="1096"/>
    <x v="17"/>
    <s v="Nike Shopping Bela Vista"/>
    <s v="Norte"/>
    <s v="Loja Física"/>
    <s v="Loja fÃ­sica"/>
    <n v="2689"/>
    <s v="Nike Loki Edition"/>
    <x v="2"/>
    <x v="2"/>
    <n v="2022"/>
    <n v="40"/>
    <s v="Purple/Silver"/>
    <n v="4"/>
    <n v="354.39"/>
    <s v="True"/>
    <n v="35.44"/>
    <n v="318.95"/>
    <n v="318.95"/>
    <s v="Credito em loja"/>
    <s v="CrÃ©dito em loja"/>
    <x v="1"/>
    <s v="Em anÃ¡lise"/>
    <n v="1"/>
    <n v="4"/>
    <n v="42.53"/>
    <n v="17.72"/>
    <x v="1"/>
    <m/>
  </r>
  <r>
    <n v="7509"/>
    <d v="2024-09-28T00:00:00"/>
    <n v="1058"/>
    <x v="18"/>
    <s v="Nike BarraShopping"/>
    <s v="Norte"/>
    <s v="Marketplace"/>
    <s v="Marketplace"/>
    <n v="2660"/>
    <s v="Nike Naruto Edition"/>
    <x v="7"/>
    <x v="1"/>
    <n v="2023"/>
    <n v="40"/>
    <s v="Black/Gold"/>
    <n v="3"/>
    <n v="591.37"/>
    <s v="False"/>
    <n v="0"/>
    <n v="591.37"/>
    <n v="591.37"/>
    <s v="Cartão"/>
    <s v="CartÃ£o"/>
    <x v="1"/>
    <s v="Em anÃ¡lise"/>
    <n v="11"/>
    <n v="2"/>
    <n v="70.959999999999994"/>
    <n v="0"/>
    <x v="2"/>
    <m/>
  </r>
  <r>
    <n v="7510"/>
    <d v="2024-06-09T00:00:00"/>
    <n v="1040"/>
    <x v="27"/>
    <s v="Nike Shopping Center Lapa"/>
    <s v="Sudeste"/>
    <s v="Online"/>
    <s v="Online"/>
    <n v="2603"/>
    <s v="Nike Loki Edition"/>
    <x v="2"/>
    <x v="1"/>
    <n v="2023"/>
    <n v="40"/>
    <s v="Red/Black"/>
    <n v="4"/>
    <n v="633.46"/>
    <s v="True"/>
    <n v="63.35"/>
    <n v="570.11"/>
    <n v="570.11"/>
    <s v="Cartão"/>
    <s v="CartÃ£o"/>
    <x v="1"/>
    <s v="Em anÃ¡lise"/>
    <n v="2"/>
    <n v="2"/>
    <n v="76.02"/>
    <n v="31.67"/>
    <x v="1"/>
    <m/>
  </r>
  <r>
    <n v="7511"/>
    <d v="2025-03-26T00:00:00"/>
    <n v="1040"/>
    <x v="27"/>
    <s v="Nike Shopping Center Lapa"/>
    <s v="Sudeste"/>
    <s v="Online"/>
    <s v="Online"/>
    <n v="2539"/>
    <s v="Nike The Mandalorian Edition"/>
    <x v="1"/>
    <x v="0"/>
    <n v="2022"/>
    <n v="39"/>
    <s v="Black/Gold"/>
    <n v="5"/>
    <n v="440.97"/>
    <s v="False"/>
    <n v="0"/>
    <n v="440.97"/>
    <n v="440.97"/>
    <s v="Credito em loja"/>
    <s v="CrÃ©dito em loja"/>
    <x v="2"/>
    <s v="Devolvido"/>
    <n v="9"/>
    <n v="3"/>
    <n v="52.92"/>
    <n v="0"/>
    <x v="1"/>
    <m/>
  </r>
  <r>
    <n v="7512"/>
    <d v="2024-07-25T00:00:00"/>
    <n v="1003"/>
    <x v="28"/>
    <s v="Nike Shopping Nova AmÃ©rica"/>
    <s v="Norte"/>
    <s v="Loja Física"/>
    <s v="Loja fÃ­sica"/>
    <n v="2288"/>
    <s v="Nike Rick and Morty Edition"/>
    <x v="2"/>
    <x v="0"/>
    <n v="2023"/>
    <n v="42"/>
    <s v="Green/Yellow"/>
    <n v="5"/>
    <n v="754.01"/>
    <s v="True"/>
    <n v="75.400000000000006"/>
    <n v="678.61"/>
    <n v="678.61"/>
    <s v="Cartão"/>
    <s v="CartÃ£o"/>
    <x v="2"/>
    <s v="Devolvido"/>
    <n v="8"/>
    <n v="1"/>
    <n v="90.48"/>
    <n v="37.700000000000003"/>
    <x v="2"/>
    <m/>
  </r>
  <r>
    <n v="7513"/>
    <d v="2024-05-27T00:00:00"/>
    <n v="1078"/>
    <x v="6"/>
    <s v="Nike Shopping JK Iguatemi"/>
    <s v="Nordeste"/>
    <s v="Loja Física"/>
    <s v="Loja fÃ­sica"/>
    <n v="2090"/>
    <s v="Nike Harry Potter Edition"/>
    <x v="4"/>
    <x v="1"/>
    <n v="2024"/>
    <n v="40"/>
    <s v="Purple/Silver"/>
    <n v="3"/>
    <n v="527.05999999999995"/>
    <s v="True"/>
    <n v="52.71"/>
    <n v="4.7434999999999904E+16"/>
    <n v="474.34999999999997"/>
    <s v="Boleto"/>
    <s v="Boleto"/>
    <x v="2"/>
    <s v="Devolvido"/>
    <n v="14"/>
    <n v="4"/>
    <n v="63.25"/>
    <n v="26.35"/>
    <x v="0"/>
    <m/>
  </r>
  <r>
    <n v="7514"/>
    <d v="2025-03-29T00:00:00"/>
    <n v="1023"/>
    <x v="19"/>
    <s v="Nike Shopping Barra"/>
    <s v="Nordeste"/>
    <s v="Online"/>
    <s v="Online"/>
    <n v="2304"/>
    <s v="Nike Harry Potter Edition"/>
    <x v="3"/>
    <x v="0"/>
    <n v="2024"/>
    <n v="39"/>
    <s v="Purple/Silver"/>
    <n v="2"/>
    <n v="563.88"/>
    <s v="False"/>
    <n v="0"/>
    <n v="563.88"/>
    <n v="563.88"/>
    <s v="Boleto"/>
    <s v="Boleto"/>
    <x v="0"/>
    <s v="Nenhuma"/>
    <n v="8"/>
    <n v="1"/>
    <n v="67.67"/>
    <n v="0"/>
    <x v="1"/>
    <m/>
  </r>
  <r>
    <n v="7515"/>
    <d v="2024-06-13T00:00:00"/>
    <n v="1058"/>
    <x v="11"/>
    <s v="Nike Shopping RioSul"/>
    <s v="Norte"/>
    <s v="Marketplace"/>
    <s v="Marketplace"/>
    <n v="2956"/>
    <s v="Nike Loki Edition"/>
    <x v="6"/>
    <x v="0"/>
    <n v="2023"/>
    <n v="37"/>
    <s v="Purple/Silver"/>
    <n v="3"/>
    <n v="470.6"/>
    <s v="True"/>
    <n v="47.06"/>
    <n v="423.54"/>
    <n v="423.54"/>
    <s v="Cartão"/>
    <s v="CartÃ£o"/>
    <x v="2"/>
    <s v="Devolvido"/>
    <n v="4"/>
    <n v="3"/>
    <n v="56.47"/>
    <n v="23.53"/>
    <x v="2"/>
    <m/>
  </r>
  <r>
    <n v="7516"/>
    <d v="2025-03-22T00:00:00"/>
    <n v="1052"/>
    <x v="17"/>
    <s v="Nike Shopping Bela Vista"/>
    <s v="Sul"/>
    <s v="Loja Física"/>
    <s v="Loja fÃ­sica"/>
    <n v="2589"/>
    <s v="Nike Stranger Things Edition"/>
    <x v="2"/>
    <x v="1"/>
    <n v="2022"/>
    <n v="42"/>
    <s v="Red/Black"/>
    <n v="2"/>
    <n v="591.01"/>
    <s v="False"/>
    <n v="0"/>
    <n v="591.01"/>
    <n v="591.01"/>
    <s v="Credito em loja"/>
    <s v="CrÃ©dito em loja"/>
    <x v="0"/>
    <s v="Nenhuma"/>
    <n v="5"/>
    <n v="2"/>
    <n v="70.92"/>
    <n v="0"/>
    <x v="1"/>
    <m/>
  </r>
  <r>
    <n v="7517"/>
    <d v="2024-11-10T00:00:00"/>
    <n v="1011"/>
    <x v="0"/>
    <s v="Nike Shopping Vila OlÃ­mpia"/>
    <s v="Centro-Oeste"/>
    <s v="Marketplace"/>
    <s v="Marketplace"/>
    <n v="2678"/>
    <s v="Nike The Mandalorian Edition"/>
    <x v="0"/>
    <x v="2"/>
    <n v="2023"/>
    <n v="37"/>
    <s v="Black/Gold"/>
    <n v="1"/>
    <n v="507.34"/>
    <s v="False"/>
    <n v="0"/>
    <n v="507.34"/>
    <n v="507.34"/>
    <s v="Cartão"/>
    <s v="CartÃ£o"/>
    <x v="0"/>
    <s v="Nenhuma"/>
    <n v="4"/>
    <n v="5"/>
    <n v="60.88"/>
    <n v="0"/>
    <x v="0"/>
    <m/>
  </r>
  <r>
    <n v="7518"/>
    <d v="2024-07-20T00:00:00"/>
    <n v="1032"/>
    <x v="11"/>
    <s v="Nike Shopping RioSul"/>
    <s v="Norte"/>
    <s v="Loja Física"/>
    <s v="Loja fÃ­sica"/>
    <n v="2087"/>
    <s v="Nike The Mandalorian Edition"/>
    <x v="0"/>
    <x v="0"/>
    <n v="2023"/>
    <n v="42"/>
    <s v="Green/Yellow"/>
    <n v="3"/>
    <n v="734.09"/>
    <s v="True"/>
    <n v="73.41"/>
    <n v="6606800000000000"/>
    <n v="660.68000000000006"/>
    <s v="Cartão"/>
    <s v="CartÃ£o"/>
    <x v="2"/>
    <s v="Devolvido"/>
    <n v="10"/>
    <n v="3"/>
    <n v="88.09"/>
    <n v="36.700000000000003"/>
    <x v="2"/>
    <m/>
  </r>
  <r>
    <n v="7519"/>
    <d v="2024-09-11T00:00:00"/>
    <n v="1083"/>
    <x v="20"/>
    <s v="Nike Shopping da Bahia"/>
    <s v="Sul"/>
    <s v="Marketplace"/>
    <s v="Marketplace"/>
    <n v="2064"/>
    <s v="Nike One Piece Edition"/>
    <x v="6"/>
    <x v="0"/>
    <n v="2024"/>
    <n v="41"/>
    <s v="Red/Black"/>
    <n v="2"/>
    <n v="741.83"/>
    <s v="False"/>
    <n v="0"/>
    <n v="741.83"/>
    <n v="741.83"/>
    <s v="Credito em loja"/>
    <s v="CrÃ©dito em loja"/>
    <x v="2"/>
    <s v="Devolvido"/>
    <n v="10"/>
    <n v="3"/>
    <n v="89.02"/>
    <n v="0"/>
    <x v="1"/>
    <m/>
  </r>
  <r>
    <n v="7520"/>
    <d v="2024-06-21T00:00:00"/>
    <n v="1081"/>
    <x v="6"/>
    <s v="Nike Shopping JK Iguatemi"/>
    <s v="Sul"/>
    <s v="Loja Física"/>
    <s v="Loja fÃ­sica"/>
    <n v="2099"/>
    <s v="Nike Stranger Things Edition"/>
    <x v="4"/>
    <x v="1"/>
    <n v="2024"/>
    <n v="41"/>
    <s v="White/Blue"/>
    <n v="4"/>
    <n v="319.47000000000003"/>
    <s v="True"/>
    <n v="31.95"/>
    <n v="2.8752E+16"/>
    <n v="287.52000000000004"/>
    <s v="Credito em loja"/>
    <s v="CrÃ©dito em loja"/>
    <x v="1"/>
    <s v="Em anÃ¡lise"/>
    <n v="10"/>
    <n v="5"/>
    <n v="38.340000000000003"/>
    <n v="15.97"/>
    <x v="0"/>
    <m/>
  </r>
  <r>
    <n v="7521"/>
    <d v="2024-10-31T00:00:00"/>
    <n v="1056"/>
    <x v="6"/>
    <s v="Nike Shopping JK Iguatemi"/>
    <s v="Centro-Oeste"/>
    <s v="Loja Física"/>
    <s v="Loja fÃ­sica"/>
    <n v="2973"/>
    <s v="Nike Loki Edition"/>
    <x v="3"/>
    <x v="0"/>
    <n v="2024"/>
    <n v="41"/>
    <s v="Green/Yellow"/>
    <n v="4"/>
    <n v="608.92999999999995"/>
    <s v="False"/>
    <n v="0"/>
    <n v="608.92999999999995"/>
    <n v="608.92999999999995"/>
    <s v="Cartão"/>
    <s v="CartÃ£o"/>
    <x v="0"/>
    <s v="Nenhuma"/>
    <n v="3"/>
    <n v="2"/>
    <n v="73.069999999999993"/>
    <n v="0"/>
    <x v="0"/>
    <m/>
  </r>
  <r>
    <n v="7522"/>
    <d v="2025-02-09T00:00:00"/>
    <n v="1016"/>
    <x v="25"/>
    <s v="Nike Shopping Center Norte"/>
    <s v="Sudeste"/>
    <s v="Marketplace"/>
    <s v="Marketplace"/>
    <n v="2814"/>
    <s v="Nike One Piece Edition"/>
    <x v="3"/>
    <x v="2"/>
    <n v="2022"/>
    <n v="37"/>
    <s v="Black/Gold"/>
    <n v="4"/>
    <n v="622.85"/>
    <s v="True"/>
    <n v="62.29"/>
    <n v="5605600000000000"/>
    <n v="560.56000000000006"/>
    <s v="Credito em loja"/>
    <s v="CrÃ©dito em loja"/>
    <x v="2"/>
    <s v="Devolvido"/>
    <n v="5"/>
    <n v="4"/>
    <n v="74.739999999999995"/>
    <n v="31.14"/>
    <x v="0"/>
    <m/>
  </r>
  <r>
    <n v="7523"/>
    <d v="2025-01-25T00:00:00"/>
    <n v="1000"/>
    <x v="23"/>
    <s v="Nike Shopping Eldorado"/>
    <s v="Centro-Oeste"/>
    <s v="Online"/>
    <s v="Online"/>
    <n v="2204"/>
    <s v="Nike Harry Potter Edition"/>
    <x v="3"/>
    <x v="1"/>
    <n v="2024"/>
    <n v="40"/>
    <s v="Red/Black"/>
    <n v="5"/>
    <n v="792.37"/>
    <s v="True"/>
    <n v="79.239999999999995"/>
    <n v="713.13"/>
    <n v="713.13"/>
    <s v="Cartão"/>
    <s v="CartÃ£o"/>
    <x v="1"/>
    <s v="Em anÃ¡lise"/>
    <n v="5"/>
    <n v="4"/>
    <n v="95.08"/>
    <n v="39.619999999999997"/>
    <x v="0"/>
    <m/>
  </r>
  <r>
    <n v="7524"/>
    <d v="2025-01-06T00:00:00"/>
    <n v="1003"/>
    <x v="6"/>
    <s v="Nike Shopping JK Iguatemi"/>
    <s v="Centro-Oeste"/>
    <s v="Marketplace"/>
    <s v="Marketplace"/>
    <n v="2437"/>
    <s v="Nike Naruto Edition"/>
    <x v="0"/>
    <x v="2"/>
    <n v="2022"/>
    <n v="41"/>
    <s v="Red/Black"/>
    <n v="5"/>
    <n v="523.73"/>
    <s v="False"/>
    <n v="0"/>
    <n v="523.73"/>
    <n v="523.73"/>
    <s v="Pix"/>
    <s v="Pix"/>
    <x v="2"/>
    <s v="Devolvido"/>
    <n v="4"/>
    <n v="3"/>
    <n v="62.85"/>
    <n v="0"/>
    <x v="0"/>
    <m/>
  </r>
  <r>
    <n v="7525"/>
    <d v="2025-03-19T00:00:00"/>
    <n v="1064"/>
    <x v="12"/>
    <s v="Nike Shopping Itaigara"/>
    <s v="Norte"/>
    <s v="Online"/>
    <s v="Online"/>
    <n v="2765"/>
    <s v="Nike Stranger Things Edition"/>
    <x v="0"/>
    <x v="1"/>
    <n v="2024"/>
    <n v="39"/>
    <s v="Black/Gold"/>
    <n v="1"/>
    <n v="564.01"/>
    <s v="False"/>
    <n v="0"/>
    <n v="564.01"/>
    <n v="564.01"/>
    <s v="Pix"/>
    <s v="Pix"/>
    <x v="2"/>
    <s v="Devolvido"/>
    <n v="1"/>
    <n v="2"/>
    <n v="67.680000000000007"/>
    <n v="0"/>
    <x v="1"/>
    <m/>
  </r>
  <r>
    <n v="7526"/>
    <d v="2024-10-12T00:00:00"/>
    <n v="1090"/>
    <x v="9"/>
    <s v="Nike Shopping Cidade SÃ£o Paulo"/>
    <s v="Nordeste"/>
    <s v="Online"/>
    <s v="Online"/>
    <n v="2976"/>
    <s v="Nike Naruto Edition"/>
    <x v="7"/>
    <x v="2"/>
    <n v="2023"/>
    <n v="41"/>
    <s v="White/Blue"/>
    <n v="2"/>
    <n v="303.42"/>
    <s v="False"/>
    <n v="0"/>
    <n v="303.42"/>
    <n v="303.42"/>
    <s v="Credito em loja"/>
    <s v="CrÃ©dito em loja"/>
    <x v="0"/>
    <s v="Nenhuma"/>
    <n v="5"/>
    <n v="5"/>
    <n v="36.409999999999997"/>
    <n v="0"/>
    <x v="0"/>
    <m/>
  </r>
  <r>
    <n v="7527"/>
    <d v="2024-08-11T00:00:00"/>
    <n v="1008"/>
    <x v="12"/>
    <s v="Nike Shopping Itaigara"/>
    <s v="Nordeste"/>
    <s v="Marketplace"/>
    <s v="Marketplace"/>
    <n v="2326"/>
    <s v="Nike Harry Potter Edition"/>
    <x v="0"/>
    <x v="2"/>
    <n v="2024"/>
    <n v="41"/>
    <s v="Red/Black"/>
    <n v="4"/>
    <n v="390.96"/>
    <s v="False"/>
    <n v="0"/>
    <n v="390.96"/>
    <n v="390.96"/>
    <s v="Pix"/>
    <s v="Pix"/>
    <x v="2"/>
    <s v="Devolvido"/>
    <n v="7"/>
    <n v="1"/>
    <n v="46.92"/>
    <n v="0"/>
    <x v="1"/>
    <m/>
  </r>
  <r>
    <n v="7528"/>
    <d v="2024-07-27T00:00:00"/>
    <n v="1055"/>
    <x v="25"/>
    <s v="Nike Shopping Center Norte"/>
    <s v="Nordeste"/>
    <s v="Marketplace"/>
    <s v="Marketplace"/>
    <n v="2017"/>
    <s v="Nike Harry Potter Edition"/>
    <x v="2"/>
    <x v="2"/>
    <n v="2024"/>
    <n v="37"/>
    <s v="Black/Gold"/>
    <n v="5"/>
    <n v="469.77"/>
    <s v="False"/>
    <n v="0"/>
    <n v="469.77"/>
    <n v="469.77"/>
    <s v="Credito em loja"/>
    <s v="CrÃ©dito em loja"/>
    <x v="2"/>
    <s v="Devolvido"/>
    <n v="1"/>
    <n v="4"/>
    <n v="56.37"/>
    <n v="0"/>
    <x v="0"/>
    <m/>
  </r>
  <r>
    <n v="7529"/>
    <d v="2024-10-06T00:00:00"/>
    <n v="1074"/>
    <x v="8"/>
    <s v="Nike Shopping Paralela"/>
    <s v="Nordeste"/>
    <s v="Loja Física"/>
    <s v="Loja fÃ­sica"/>
    <n v="2382"/>
    <s v="Nike Naruto Edition"/>
    <x v="2"/>
    <x v="1"/>
    <n v="2022"/>
    <n v="42"/>
    <s v="Black/Gold"/>
    <n v="2"/>
    <n v="331.64"/>
    <s v="False"/>
    <n v="0"/>
    <n v="331.64"/>
    <n v="331.64"/>
    <s v="Cartão"/>
    <s v="CartÃ£o"/>
    <x v="2"/>
    <s v="Devolvido"/>
    <n v="1"/>
    <n v="2"/>
    <n v="39.799999999999997"/>
    <n v="0"/>
    <x v="1"/>
    <m/>
  </r>
  <r>
    <n v="7530"/>
    <d v="2024-10-06T00:00:00"/>
    <n v="1070"/>
    <x v="11"/>
    <s v="Nike Shopping RioSul"/>
    <s v="Sul"/>
    <s v="Loja Física"/>
    <s v="Loja fÃ­sica"/>
    <n v="2526"/>
    <s v="Nike Naruto Edition"/>
    <x v="3"/>
    <x v="2"/>
    <n v="2024"/>
    <n v="41"/>
    <s v="White/Blue"/>
    <n v="4"/>
    <n v="512.23"/>
    <s v="True"/>
    <n v="51.22"/>
    <n v="461.01"/>
    <n v="461.01"/>
    <s v="Pix"/>
    <s v="Pix"/>
    <x v="0"/>
    <s v="Nenhuma"/>
    <n v="10"/>
    <n v="3"/>
    <n v="61.47"/>
    <n v="25.61"/>
    <x v="2"/>
    <m/>
  </r>
  <r>
    <n v="7531"/>
    <d v="2025-02-28T00:00:00"/>
    <n v="1053"/>
    <x v="2"/>
    <s v="Nike Shopping PÃ¡tio Paulista"/>
    <s v="Centro-Oeste"/>
    <s v="Loja Física"/>
    <s v="Loja fÃ­sica"/>
    <n v="2219"/>
    <s v="Nike One Piece Edition"/>
    <x v="2"/>
    <x v="0"/>
    <n v="2024"/>
    <n v="37"/>
    <s v="Red/Black"/>
    <n v="4"/>
    <n v="462.34"/>
    <s v="False"/>
    <n v="0"/>
    <n v="462.34"/>
    <n v="462.34"/>
    <s v="Boleto"/>
    <s v="Boleto"/>
    <x v="0"/>
    <s v="Nenhuma"/>
    <n v="7"/>
    <n v="3"/>
    <n v="55.48"/>
    <n v="0"/>
    <x v="0"/>
    <m/>
  </r>
  <r>
    <n v="7532"/>
    <d v="2024-11-13T00:00:00"/>
    <n v="1040"/>
    <x v="0"/>
    <s v="Nike Shopping Vila OlÃ­mpia"/>
    <s v="Centro-Oeste"/>
    <s v="Loja Física"/>
    <s v="Loja fÃ­sica"/>
    <n v="2098"/>
    <s v="Nike Naruto Edition"/>
    <x v="3"/>
    <x v="2"/>
    <n v="2022"/>
    <n v="37"/>
    <s v="Black/Gold"/>
    <n v="4"/>
    <n v="711.25"/>
    <s v="False"/>
    <n v="0"/>
    <n v="711.25"/>
    <n v="711.25"/>
    <s v="Cartão"/>
    <s v="CartÃ£o"/>
    <x v="2"/>
    <s v="Devolvido"/>
    <n v="4"/>
    <n v="4"/>
    <n v="85.35"/>
    <n v="0"/>
    <x v="0"/>
    <m/>
  </r>
  <r>
    <n v="7533"/>
    <d v="2024-12-25T00:00:00"/>
    <n v="1094"/>
    <x v="10"/>
    <s v="Nike Plaza Shopping NiterÃ³i"/>
    <s v="Nordeste"/>
    <s v="Online"/>
    <s v="Online"/>
    <n v="2258"/>
    <s v="Nike Loki Edition"/>
    <x v="4"/>
    <x v="1"/>
    <n v="2023"/>
    <n v="40"/>
    <s v="Black/Gold"/>
    <n v="5"/>
    <n v="588.34"/>
    <s v="True"/>
    <n v="58.83"/>
    <n v="529.51"/>
    <n v="529.51"/>
    <s v="Pix"/>
    <s v="Pix"/>
    <x v="0"/>
    <s v="Nenhuma"/>
    <n v="10"/>
    <n v="2"/>
    <n v="70.599999999999994"/>
    <n v="29.42"/>
    <x v="2"/>
    <m/>
  </r>
  <r>
    <n v="7534"/>
    <d v="2024-10-22T00:00:00"/>
    <n v="1057"/>
    <x v="1"/>
    <s v="Nike Shopping Aricanduva"/>
    <s v="Norte"/>
    <s v="Marketplace"/>
    <s v="Marketplace"/>
    <n v="2178"/>
    <s v="Nike Loki Edition"/>
    <x v="5"/>
    <x v="2"/>
    <n v="2023"/>
    <n v="42"/>
    <s v="White/Blue"/>
    <n v="1"/>
    <n v="567.98"/>
    <s v="True"/>
    <n v="56.8"/>
    <n v="511.18"/>
    <n v="511.18"/>
    <s v="Credito em loja"/>
    <s v="CrÃ©dito em loja"/>
    <x v="0"/>
    <s v="Nenhuma"/>
    <n v="1"/>
    <n v="4"/>
    <n v="68.16"/>
    <n v="28.4"/>
    <x v="0"/>
    <m/>
  </r>
  <r>
    <n v="7535"/>
    <d v="2024-06-16T00:00:00"/>
    <n v="1038"/>
    <x v="20"/>
    <s v="Nike Shopping da Bahia"/>
    <s v="Sudeste"/>
    <s v="Loja Física"/>
    <s v="Loja fÃ­sica"/>
    <n v="2083"/>
    <s v="Nike Naruto Edition"/>
    <x v="1"/>
    <x v="0"/>
    <n v="2023"/>
    <n v="41"/>
    <s v="Purple/Silver"/>
    <n v="2"/>
    <n v="340.05"/>
    <s v="False"/>
    <n v="0"/>
    <n v="340.05"/>
    <n v="340.05"/>
    <s v="Boleto"/>
    <s v="Boleto"/>
    <x v="2"/>
    <s v="Devolvido"/>
    <n v="13"/>
    <n v="2"/>
    <n v="40.81"/>
    <n v="0"/>
    <x v="1"/>
    <m/>
  </r>
  <r>
    <n v="7536"/>
    <d v="2024-12-04T00:00:00"/>
    <n v="1040"/>
    <x v="3"/>
    <s v="Nike Shopping AnÃ¡lia Franco"/>
    <s v="Sudeste"/>
    <s v="Loja Física"/>
    <s v="Loja fÃ­sica"/>
    <n v="2122"/>
    <s v="Nike Rick and Morty Edition"/>
    <x v="1"/>
    <x v="1"/>
    <n v="2024"/>
    <n v="42"/>
    <s v="Green/Yellow"/>
    <n v="4"/>
    <n v="528.42999999999995"/>
    <s v="False"/>
    <n v="0"/>
    <n v="528.42999999999995"/>
    <n v="528.42999999999995"/>
    <s v="Boleto"/>
    <s v="Boleto"/>
    <x v="2"/>
    <s v="Devolvido"/>
    <n v="7"/>
    <n v="3"/>
    <n v="63.41"/>
    <n v="0"/>
    <x v="0"/>
    <m/>
  </r>
  <r>
    <n v="7537"/>
    <d v="2025-03-25T00:00:00"/>
    <n v="1082"/>
    <x v="29"/>
    <s v="Nike Shopping Downtown"/>
    <s v="Centro-Oeste"/>
    <s v="Loja Física"/>
    <s v="Loja fÃ­sica"/>
    <n v="2829"/>
    <s v="Nike Stranger Things Edition"/>
    <x v="4"/>
    <x v="2"/>
    <n v="2023"/>
    <n v="37"/>
    <s v="White/Blue"/>
    <n v="4"/>
    <n v="670.36"/>
    <s v="False"/>
    <n v="0"/>
    <n v="670.36"/>
    <n v="670.36"/>
    <s v="Cartão"/>
    <s v="CartÃ£o"/>
    <x v="2"/>
    <s v="Devolvido"/>
    <n v="12"/>
    <n v="3"/>
    <n v="80.44"/>
    <n v="0"/>
    <x v="2"/>
    <m/>
  </r>
  <r>
    <n v="7538"/>
    <d v="2025-04-28T00:00:00"/>
    <n v="1012"/>
    <x v="28"/>
    <s v="Nike Shopping Nova AmÃ©rica"/>
    <s v="Nordeste"/>
    <s v="Online"/>
    <s v="Online"/>
    <n v="2023"/>
    <s v="Nike The Mandalorian Edition"/>
    <x v="4"/>
    <x v="2"/>
    <n v="2024"/>
    <n v="40"/>
    <s v="Purple/Silver"/>
    <n v="5"/>
    <n v="538.64"/>
    <s v="False"/>
    <n v="0"/>
    <n v="538.64"/>
    <n v="538.64"/>
    <s v="Pix"/>
    <s v="Pix"/>
    <x v="1"/>
    <s v="Em anÃ¡lise"/>
    <n v="2"/>
    <n v="5"/>
    <n v="64.64"/>
    <n v="0"/>
    <x v="2"/>
    <m/>
  </r>
  <r>
    <n v="7539"/>
    <d v="2025-02-08T00:00:00"/>
    <n v="1083"/>
    <x v="11"/>
    <s v="Nike Shopping RioSul"/>
    <s v="Sul"/>
    <s v="Loja Física"/>
    <s v="Loja fÃ­sica"/>
    <n v="2970"/>
    <s v="Nike Naruto Edition"/>
    <x v="5"/>
    <x v="2"/>
    <n v="2024"/>
    <n v="41"/>
    <s v="Green/Yellow"/>
    <n v="4"/>
    <n v="755.82"/>
    <s v="False"/>
    <n v="0"/>
    <n v="755.82"/>
    <n v="755.82"/>
    <s v="Credito em loja"/>
    <s v="CrÃ©dito em loja"/>
    <x v="1"/>
    <s v="Em anÃ¡lise"/>
    <n v="6"/>
    <n v="4"/>
    <n v="90.7"/>
    <n v="0"/>
    <x v="2"/>
    <m/>
  </r>
  <r>
    <n v="7540"/>
    <d v="2024-06-22T00:00:00"/>
    <n v="1015"/>
    <x v="14"/>
    <s v="Nike Shopping Leblon"/>
    <s v="Norte"/>
    <s v="Online"/>
    <s v="Online"/>
    <n v="2341"/>
    <s v="Nike Naruto Edition"/>
    <x v="1"/>
    <x v="2"/>
    <n v="2024"/>
    <n v="38"/>
    <s v="White/Blue"/>
    <n v="1"/>
    <n v="694.83"/>
    <s v="False"/>
    <n v="0"/>
    <n v="694.83"/>
    <n v="694.83"/>
    <s v="Credito em loja"/>
    <s v="CrÃ©dito em loja"/>
    <x v="1"/>
    <s v="Em anÃ¡lise"/>
    <n v="8"/>
    <n v="5"/>
    <n v="83.38"/>
    <n v="0"/>
    <x v="2"/>
    <m/>
  </r>
  <r>
    <n v="7541"/>
    <d v="2025-03-22T00:00:00"/>
    <n v="1079"/>
    <x v="15"/>
    <s v="Nike Boulevard Shopping"/>
    <s v="Sudeste"/>
    <s v="Online"/>
    <s v="Online"/>
    <n v="2228"/>
    <s v="Nike The Mandalorian Edition"/>
    <x v="5"/>
    <x v="1"/>
    <n v="2023"/>
    <n v="40"/>
    <s v="Red/Black"/>
    <n v="4"/>
    <n v="367.7"/>
    <s v="True"/>
    <n v="36.770000000000003"/>
    <n v="330.93"/>
    <n v="330.93"/>
    <s v="Cartão"/>
    <s v="CartÃ£o"/>
    <x v="2"/>
    <s v="Devolvido"/>
    <n v="6"/>
    <n v="4"/>
    <n v="44.12"/>
    <n v="18.39"/>
    <x v="1"/>
    <m/>
  </r>
  <r>
    <n v="7542"/>
    <d v="2024-11-12T00:00:00"/>
    <n v="1020"/>
    <x v="18"/>
    <s v="Nike BarraShopping"/>
    <s v="Sul"/>
    <s v="Marketplace"/>
    <s v="Marketplace"/>
    <n v="2900"/>
    <s v="Nike Harry Potter Edition"/>
    <x v="3"/>
    <x v="2"/>
    <n v="2024"/>
    <n v="41"/>
    <s v="Purple/Silver"/>
    <n v="1"/>
    <n v="393.63"/>
    <s v="True"/>
    <n v="39.36"/>
    <n v="354.27"/>
    <n v="354.27"/>
    <s v="Credito em loja"/>
    <s v="CrÃ©dito em loja"/>
    <x v="2"/>
    <s v="Devolvido"/>
    <n v="15"/>
    <n v="1"/>
    <n v="47.24"/>
    <n v="19.68"/>
    <x v="2"/>
    <m/>
  </r>
  <r>
    <n v="7543"/>
    <d v="2025-02-28T00:00:00"/>
    <n v="1100"/>
    <x v="0"/>
    <s v="Nike Shopping Vila OlÃ­mpia"/>
    <s v="Norte"/>
    <s v="Marketplace"/>
    <s v="Marketplace"/>
    <n v="2586"/>
    <s v="Nike Naruto Edition"/>
    <x v="1"/>
    <x v="1"/>
    <n v="2022"/>
    <n v="42"/>
    <s v="Red/Black"/>
    <n v="5"/>
    <n v="712.96"/>
    <s v="False"/>
    <n v="0"/>
    <n v="712.96"/>
    <n v="712.96"/>
    <s v="Boleto"/>
    <s v="Boleto"/>
    <x v="0"/>
    <s v="Nenhuma"/>
    <n v="15"/>
    <n v="5"/>
    <n v="85.56"/>
    <n v="0"/>
    <x v="0"/>
    <m/>
  </r>
  <r>
    <n v="7544"/>
    <d v="2024-08-03T00:00:00"/>
    <n v="1025"/>
    <x v="14"/>
    <s v="Nike Shopping Leblon"/>
    <s v="Nordeste"/>
    <s v="Online"/>
    <s v="Online"/>
    <n v="2449"/>
    <s v="Nike Harry Potter Edition"/>
    <x v="5"/>
    <x v="0"/>
    <n v="2022"/>
    <n v="40"/>
    <s v="Purple/Silver"/>
    <n v="5"/>
    <n v="519.16999999999996"/>
    <s v="False"/>
    <n v="0"/>
    <n v="519.16999999999996"/>
    <n v="519.16999999999996"/>
    <s v="Pix"/>
    <s v="Pix"/>
    <x v="0"/>
    <s v="Nenhuma"/>
    <n v="12"/>
    <n v="5"/>
    <n v="62.3"/>
    <n v="0"/>
    <x v="2"/>
    <m/>
  </r>
  <r>
    <n v="7545"/>
    <d v="2024-10-28T00:00:00"/>
    <n v="1100"/>
    <x v="29"/>
    <s v="Nike Shopping Downtown"/>
    <s v="Sudeste"/>
    <s v="Online"/>
    <s v="Online"/>
    <n v="2118"/>
    <s v="Nike Stranger Things Edition"/>
    <x v="7"/>
    <x v="0"/>
    <n v="2023"/>
    <n v="39"/>
    <s v="Red/Black"/>
    <n v="4"/>
    <n v="737.11"/>
    <s v="True"/>
    <n v="73.709999999999994"/>
    <n v="663.4"/>
    <n v="663.4"/>
    <s v="Cartão"/>
    <s v="CartÃ£o"/>
    <x v="2"/>
    <s v="Devolvido"/>
    <n v="6"/>
    <n v="4"/>
    <n v="88.45"/>
    <n v="36.86"/>
    <x v="2"/>
    <m/>
  </r>
  <r>
    <n v="7546"/>
    <d v="2024-08-15T00:00:00"/>
    <n v="1095"/>
    <x v="29"/>
    <s v="Nike Shopping Downtown"/>
    <s v="Sudeste"/>
    <s v="Online"/>
    <s v="Online"/>
    <n v="2160"/>
    <s v="Nike Dragon Ball Edition"/>
    <x v="1"/>
    <x v="0"/>
    <n v="2023"/>
    <n v="40"/>
    <s v="White/Blue"/>
    <n v="5"/>
    <n v="595.17999999999995"/>
    <s v="True"/>
    <n v="59.52"/>
    <n v="535.66"/>
    <n v="535.66"/>
    <s v="Cartão"/>
    <s v="CartÃ£o"/>
    <x v="2"/>
    <s v="Devolvido"/>
    <n v="2"/>
    <n v="1"/>
    <n v="71.42"/>
    <n v="29.76"/>
    <x v="2"/>
    <m/>
  </r>
  <r>
    <n v="7547"/>
    <d v="2025-05-06T00:00:00"/>
    <n v="1019"/>
    <x v="5"/>
    <s v="Nike Shopping Iguatemi"/>
    <s v="Norte"/>
    <s v="Online"/>
    <s v="Online"/>
    <n v="2079"/>
    <s v="Nike The Mandalorian Edition"/>
    <x v="5"/>
    <x v="2"/>
    <n v="2024"/>
    <n v="42"/>
    <s v="White/Blue"/>
    <n v="1"/>
    <n v="313.55"/>
    <s v="False"/>
    <n v="0"/>
    <n v="313.55"/>
    <n v="313.55"/>
    <s v="Pix"/>
    <s v="Pix"/>
    <x v="0"/>
    <s v="Nenhuma"/>
    <n v="5"/>
    <n v="4"/>
    <n v="37.630000000000003"/>
    <n v="0"/>
    <x v="0"/>
    <m/>
  </r>
  <r>
    <n v="7548"/>
    <d v="2024-10-11T00:00:00"/>
    <n v="1099"/>
    <x v="26"/>
    <s v="Nike Shopping Tijuca"/>
    <s v="Sudeste"/>
    <s v="Loja Física"/>
    <s v="Loja fÃ­sica"/>
    <n v="2051"/>
    <s v="Nike Dragon Ball Edition"/>
    <x v="0"/>
    <x v="1"/>
    <n v="2024"/>
    <n v="38"/>
    <s v="Red/Black"/>
    <n v="5"/>
    <n v="551.69000000000005"/>
    <s v="True"/>
    <n v="55.17"/>
    <n v="4.9652E+16"/>
    <n v="496.52000000000004"/>
    <s v="Pix"/>
    <s v="Pix"/>
    <x v="1"/>
    <s v="Em anÃ¡lise"/>
    <n v="14"/>
    <n v="1"/>
    <n v="66.2"/>
    <n v="27.58"/>
    <x v="2"/>
    <m/>
  </r>
  <r>
    <n v="7549"/>
    <d v="2025-03-08T00:00:00"/>
    <n v="1058"/>
    <x v="11"/>
    <s v="Nike Shopping RioSul"/>
    <s v="Sul"/>
    <s v="Marketplace"/>
    <s v="Marketplace"/>
    <n v="2997"/>
    <s v="Nike Loki Edition"/>
    <x v="6"/>
    <x v="0"/>
    <n v="2022"/>
    <n v="41"/>
    <s v="White/Blue"/>
    <n v="2"/>
    <n v="742.19"/>
    <s v="False"/>
    <n v="0"/>
    <n v="742.19"/>
    <n v="742.19"/>
    <s v="Pix"/>
    <s v="Pix"/>
    <x v="2"/>
    <s v="Devolvido"/>
    <n v="15"/>
    <n v="4"/>
    <n v="89.06"/>
    <n v="0"/>
    <x v="2"/>
    <m/>
  </r>
  <r>
    <n v="7550"/>
    <d v="2025-02-12T00:00:00"/>
    <n v="1009"/>
    <x v="23"/>
    <s v="Nike Shopping Eldorado"/>
    <s v="Centro-Oeste"/>
    <s v="Marketplace"/>
    <s v="Marketplace"/>
    <n v="2503"/>
    <s v="Nike One Piece Edition"/>
    <x v="1"/>
    <x v="1"/>
    <n v="2023"/>
    <n v="41"/>
    <s v="White/Blue"/>
    <n v="2"/>
    <n v="793.06"/>
    <s v="False"/>
    <n v="0"/>
    <n v="793.06"/>
    <n v="793.06"/>
    <s v="Credito em loja"/>
    <s v="CrÃ©dito em loja"/>
    <x v="0"/>
    <s v="Nenhuma"/>
    <n v="11"/>
    <n v="4"/>
    <n v="95.17"/>
    <n v="0"/>
    <x v="0"/>
    <m/>
  </r>
  <r>
    <n v="7551"/>
    <d v="2025-04-19T00:00:00"/>
    <n v="1040"/>
    <x v="6"/>
    <s v="Nike Shopping JK Iguatemi"/>
    <s v="Nordeste"/>
    <s v="Loja Física"/>
    <s v="Loja fÃ­sica"/>
    <n v="2302"/>
    <s v="Nike The Mandalorian Edition"/>
    <x v="0"/>
    <x v="2"/>
    <n v="2024"/>
    <n v="40"/>
    <s v="White/Blue"/>
    <n v="5"/>
    <n v="418.56"/>
    <s v="True"/>
    <n v="41.86"/>
    <n v="376.7"/>
    <n v="376.7"/>
    <s v="Boleto"/>
    <s v="Boleto"/>
    <x v="0"/>
    <s v="Nenhuma"/>
    <n v="15"/>
    <n v="5"/>
    <n v="50.23"/>
    <n v="20.93"/>
    <x v="0"/>
    <m/>
  </r>
  <r>
    <n v="7552"/>
    <d v="2025-03-10T00:00:00"/>
    <n v="1041"/>
    <x v="22"/>
    <s v="Nike Shopping Paseo"/>
    <s v="Sudeste"/>
    <s v="Online"/>
    <s v="Online"/>
    <n v="2612"/>
    <s v="Nike The Mandalorian Edition"/>
    <x v="2"/>
    <x v="2"/>
    <n v="2024"/>
    <n v="39"/>
    <s v="Black/Gold"/>
    <n v="3"/>
    <n v="790.05"/>
    <s v="False"/>
    <n v="0"/>
    <n v="790.05"/>
    <n v="790.05"/>
    <s v="Credito em loja"/>
    <s v="CrÃ©dito em loja"/>
    <x v="2"/>
    <s v="Devolvido"/>
    <n v="3"/>
    <n v="5"/>
    <n v="94.81"/>
    <n v="0"/>
    <x v="1"/>
    <m/>
  </r>
  <r>
    <n v="7553"/>
    <d v="2024-07-13T00:00:00"/>
    <n v="1082"/>
    <x v="21"/>
    <s v="Nike Shopping Via Parque"/>
    <s v="Centro-Oeste"/>
    <s v="Loja Física"/>
    <s v="Loja fÃ­sica"/>
    <n v="2810"/>
    <s v="Nike Rick and Morty Edition"/>
    <x v="5"/>
    <x v="2"/>
    <n v="2024"/>
    <n v="42"/>
    <s v="Black/Gold"/>
    <n v="2"/>
    <n v="743.02"/>
    <s v="True"/>
    <n v="74.3"/>
    <n v="668.72"/>
    <n v="668.72"/>
    <s v="Boleto"/>
    <s v="Boleto"/>
    <x v="2"/>
    <s v="Devolvido"/>
    <n v="5"/>
    <n v="1"/>
    <n v="89.16"/>
    <n v="37.15"/>
    <x v="2"/>
    <m/>
  </r>
  <r>
    <n v="7554"/>
    <d v="2025-03-28T00:00:00"/>
    <n v="1043"/>
    <x v="28"/>
    <s v="Nike Shopping Nova AmÃ©rica"/>
    <s v="Centro-Oeste"/>
    <s v="Loja Física"/>
    <s v="Loja fÃ­sica"/>
    <n v="2794"/>
    <s v="Nike The Mandalorian Edition"/>
    <x v="0"/>
    <x v="0"/>
    <n v="2024"/>
    <n v="39"/>
    <s v="Red/Black"/>
    <n v="1"/>
    <n v="403.51"/>
    <s v="True"/>
    <n v="40.35"/>
    <n v="3.6315999999999904E+16"/>
    <n v="363.15999999999997"/>
    <s v="Cartão"/>
    <s v="CartÃ£o"/>
    <x v="2"/>
    <s v="Devolvido"/>
    <n v="5"/>
    <n v="2"/>
    <n v="48.42"/>
    <n v="20.18"/>
    <x v="2"/>
    <m/>
  </r>
  <r>
    <n v="7555"/>
    <d v="2025-02-04T00:00:00"/>
    <n v="1075"/>
    <x v="16"/>
    <s v="Nike Salvador Shopping"/>
    <s v="Sul"/>
    <s v="Online"/>
    <s v="Online"/>
    <n v="2697"/>
    <s v="Nike Dragon Ball Edition"/>
    <x v="7"/>
    <x v="2"/>
    <n v="2023"/>
    <n v="39"/>
    <s v="White/Blue"/>
    <n v="4"/>
    <n v="340.31"/>
    <s v="True"/>
    <n v="34.03"/>
    <n v="306.27999999999997"/>
    <n v="306.27999999999997"/>
    <s v="Pix"/>
    <s v="Pix"/>
    <x v="1"/>
    <s v="Em anÃ¡lise"/>
    <n v="9"/>
    <n v="2"/>
    <n v="40.840000000000003"/>
    <n v="17.02"/>
    <x v="1"/>
    <m/>
  </r>
  <r>
    <n v="7556"/>
    <d v="2024-06-01T00:00:00"/>
    <n v="1032"/>
    <x v="15"/>
    <s v="Nike Boulevard Shopping"/>
    <s v="Sudeste"/>
    <s v="Marketplace"/>
    <s v="Marketplace"/>
    <n v="2915"/>
    <s v="Nike One Piece Edition"/>
    <x v="1"/>
    <x v="2"/>
    <n v="2022"/>
    <n v="37"/>
    <s v="Red/Black"/>
    <n v="5"/>
    <n v="710.49"/>
    <s v="False"/>
    <n v="0"/>
    <n v="710.49"/>
    <n v="710.49"/>
    <s v="Cartão"/>
    <s v="CartÃ£o"/>
    <x v="2"/>
    <s v="Devolvido"/>
    <n v="15"/>
    <n v="2"/>
    <n v="85.26"/>
    <n v="0"/>
    <x v="1"/>
    <m/>
  </r>
  <r>
    <n v="7557"/>
    <d v="2024-08-08T00:00:00"/>
    <n v="1048"/>
    <x v="4"/>
    <s v="Nike Shopping Morumbi"/>
    <s v="Nordeste"/>
    <s v="Loja Física"/>
    <s v="Loja fÃ­sica"/>
    <n v="2116"/>
    <s v="Nike Harry Potter Edition"/>
    <x v="7"/>
    <x v="0"/>
    <n v="2024"/>
    <n v="39"/>
    <s v="Black/Gold"/>
    <n v="2"/>
    <n v="792.24"/>
    <s v="False"/>
    <n v="0"/>
    <n v="792.24"/>
    <n v="792.24"/>
    <s v="Pix"/>
    <s v="Pix"/>
    <x v="0"/>
    <s v="Nenhuma"/>
    <n v="12"/>
    <n v="2"/>
    <n v="95.07"/>
    <n v="0"/>
    <x v="0"/>
    <m/>
  </r>
  <r>
    <n v="7558"/>
    <d v="2025-01-27T00:00:00"/>
    <n v="1016"/>
    <x v="0"/>
    <s v="Nike Shopping Vila OlÃ­mpia"/>
    <s v="Centro-Oeste"/>
    <s v="Marketplace"/>
    <s v="Marketplace"/>
    <n v="2587"/>
    <s v="Nike Dragon Ball Edition"/>
    <x v="5"/>
    <x v="2"/>
    <n v="2022"/>
    <n v="42"/>
    <s v="Red/Black"/>
    <n v="2"/>
    <n v="303.52"/>
    <s v="True"/>
    <n v="30.35"/>
    <n v="2.73169999999999E+16"/>
    <n v="273.16999999999996"/>
    <s v="Pix"/>
    <s v="Pix"/>
    <x v="2"/>
    <s v="Devolvido"/>
    <n v="12"/>
    <n v="1"/>
    <n v="36.42"/>
    <n v="15.18"/>
    <x v="0"/>
    <m/>
  </r>
  <r>
    <n v="7559"/>
    <d v="2025-02-03T00:00:00"/>
    <n v="1039"/>
    <x v="26"/>
    <s v="Nike Shopping Tijuca"/>
    <s v="Nordeste"/>
    <s v="Loja Física"/>
    <s v="Loja fÃ­sica"/>
    <n v="2696"/>
    <s v="Nike Loki Edition"/>
    <x v="3"/>
    <x v="1"/>
    <n v="2024"/>
    <n v="41"/>
    <s v="Green/Yellow"/>
    <n v="1"/>
    <n v="454.26"/>
    <s v="True"/>
    <n v="45.43"/>
    <n v="408.83"/>
    <n v="408.83"/>
    <s v="Boleto"/>
    <s v="Boleto"/>
    <x v="2"/>
    <s v="Devolvido"/>
    <n v="12"/>
    <n v="5"/>
    <n v="54.51"/>
    <n v="22.71"/>
    <x v="2"/>
    <m/>
  </r>
  <r>
    <n v="7560"/>
    <d v="2024-11-29T00:00:00"/>
    <n v="1071"/>
    <x v="4"/>
    <s v="Nike Shopping Morumbi"/>
    <s v="Sudeste"/>
    <s v="Loja Física"/>
    <s v="Loja fÃ­sica"/>
    <n v="2904"/>
    <s v="Nike Stranger Things Edition"/>
    <x v="0"/>
    <x v="2"/>
    <n v="2024"/>
    <n v="41"/>
    <s v="White/Blue"/>
    <n v="4"/>
    <n v="388.97"/>
    <s v="True"/>
    <n v="38.9"/>
    <n v="3.5007E+16"/>
    <n v="350.07000000000005"/>
    <s v="Boleto"/>
    <s v="Boleto"/>
    <x v="2"/>
    <s v="Devolvido"/>
    <n v="11"/>
    <n v="4"/>
    <n v="46.68"/>
    <n v="19.45"/>
    <x v="0"/>
    <m/>
  </r>
  <r>
    <n v="7561"/>
    <d v="2025-03-28T00:00:00"/>
    <n v="1016"/>
    <x v="5"/>
    <s v="Nike Shopping Iguatemi"/>
    <s v="Nordeste"/>
    <s v="Online"/>
    <s v="Online"/>
    <n v="2052"/>
    <s v="Nike Loki Edition"/>
    <x v="5"/>
    <x v="0"/>
    <n v="2022"/>
    <n v="37"/>
    <s v="Black/Gold"/>
    <n v="3"/>
    <n v="530.94000000000005"/>
    <s v="False"/>
    <n v="0"/>
    <n v="530.94000000000005"/>
    <n v="530.94000000000005"/>
    <s v="Pix"/>
    <s v="Pix"/>
    <x v="2"/>
    <s v="Devolvido"/>
    <n v="13"/>
    <n v="4"/>
    <n v="63.71"/>
    <n v="0"/>
    <x v="0"/>
    <m/>
  </r>
  <r>
    <n v="7562"/>
    <d v="2024-12-23T00:00:00"/>
    <n v="1074"/>
    <x v="9"/>
    <s v="Nike Shopping Cidade SÃ£o Paulo"/>
    <s v="Centro-Oeste"/>
    <s v="Online"/>
    <s v="Online"/>
    <n v="2846"/>
    <s v="Nike Loki Edition"/>
    <x v="1"/>
    <x v="0"/>
    <n v="2022"/>
    <n v="39"/>
    <s v="Purple/Silver"/>
    <n v="5"/>
    <n v="341.17"/>
    <s v="False"/>
    <n v="0"/>
    <n v="341.17"/>
    <n v="341.17"/>
    <s v="Credito em loja"/>
    <s v="CrÃ©dito em loja"/>
    <x v="1"/>
    <s v="Em anÃ¡lise"/>
    <n v="3"/>
    <n v="4"/>
    <n v="40.94"/>
    <n v="0"/>
    <x v="0"/>
    <m/>
  </r>
  <r>
    <n v="7563"/>
    <d v="2025-02-02T00:00:00"/>
    <n v="1006"/>
    <x v="1"/>
    <s v="Nike Shopping Aricanduva"/>
    <s v="Sul"/>
    <s v="Loja Física"/>
    <s v="Loja fÃ­sica"/>
    <n v="2935"/>
    <s v="Nike The Mandalorian Edition"/>
    <x v="7"/>
    <x v="2"/>
    <n v="2024"/>
    <n v="41"/>
    <s v="Purple/Silver"/>
    <n v="5"/>
    <n v="417.47"/>
    <s v="False"/>
    <n v="0"/>
    <n v="417.47"/>
    <n v="417.47"/>
    <s v="Cartão"/>
    <s v="CartÃ£o"/>
    <x v="2"/>
    <s v="Devolvido"/>
    <n v="10"/>
    <n v="1"/>
    <n v="50.1"/>
    <n v="0"/>
    <x v="0"/>
    <m/>
  </r>
  <r>
    <n v="7564"/>
    <d v="2024-07-10T00:00:00"/>
    <n v="1085"/>
    <x v="14"/>
    <s v="Nike Shopping Leblon"/>
    <s v="Centro-Oeste"/>
    <s v="Loja Física"/>
    <s v="Loja fÃ­sica"/>
    <n v="2420"/>
    <s v="Nike Naruto Edition"/>
    <x v="0"/>
    <x v="2"/>
    <n v="2023"/>
    <n v="40"/>
    <s v="Purple/Silver"/>
    <n v="3"/>
    <n v="473.2"/>
    <s v="False"/>
    <n v="0"/>
    <n v="473.2"/>
    <n v="473.2"/>
    <s v="Pix"/>
    <s v="Pix"/>
    <x v="2"/>
    <s v="Devolvido"/>
    <n v="15"/>
    <n v="3"/>
    <n v="56.78"/>
    <n v="0"/>
    <x v="2"/>
    <m/>
  </r>
  <r>
    <n v="7565"/>
    <d v="2024-11-05T00:00:00"/>
    <n v="1050"/>
    <x v="28"/>
    <s v="Nike Shopping Nova AmÃ©rica"/>
    <s v="Norte"/>
    <s v="Marketplace"/>
    <s v="Marketplace"/>
    <n v="2913"/>
    <s v="Nike One Piece Edition"/>
    <x v="2"/>
    <x v="0"/>
    <n v="2023"/>
    <n v="38"/>
    <s v="Purple/Silver"/>
    <n v="4"/>
    <n v="326.14"/>
    <s v="True"/>
    <n v="32.61"/>
    <n v="293.52999999999997"/>
    <n v="293.52999999999997"/>
    <s v="Boleto"/>
    <s v="Boleto"/>
    <x v="0"/>
    <s v="Nenhuma"/>
    <n v="15"/>
    <n v="2"/>
    <n v="39.14"/>
    <n v="16.309999999999999"/>
    <x v="2"/>
    <m/>
  </r>
  <r>
    <n v="7566"/>
    <d v="2024-09-02T00:00:00"/>
    <n v="1067"/>
    <x v="15"/>
    <s v="Nike Boulevard Shopping"/>
    <s v="Norte"/>
    <s v="Online"/>
    <s v="Online"/>
    <n v="2320"/>
    <s v="Nike Naruto Edition"/>
    <x v="0"/>
    <x v="1"/>
    <n v="2024"/>
    <n v="41"/>
    <s v="Green/Yellow"/>
    <n v="1"/>
    <n v="688.66"/>
    <s v="True"/>
    <n v="68.87"/>
    <n v="619.79"/>
    <n v="619.79"/>
    <s v="Credito em loja"/>
    <s v="CrÃ©dito em loja"/>
    <x v="1"/>
    <s v="Em anÃ¡lise"/>
    <n v="11"/>
    <n v="1"/>
    <n v="82.64"/>
    <n v="34.43"/>
    <x v="1"/>
    <m/>
  </r>
  <r>
    <n v="7567"/>
    <d v="2024-11-18T00:00:00"/>
    <n v="1055"/>
    <x v="7"/>
    <s v="Nike Shopping Metropolitano"/>
    <s v="Centro-Oeste"/>
    <s v="Marketplace"/>
    <s v="Marketplace"/>
    <n v="2026"/>
    <s v="Nike Rick and Morty Edition"/>
    <x v="0"/>
    <x v="1"/>
    <n v="2023"/>
    <n v="42"/>
    <s v="Black/Gold"/>
    <n v="5"/>
    <n v="318.25"/>
    <s v="False"/>
    <n v="0"/>
    <n v="318.25"/>
    <n v="318.25"/>
    <s v="Cartão"/>
    <s v="CartÃ£o"/>
    <x v="2"/>
    <s v="Devolvido"/>
    <n v="2"/>
    <n v="2"/>
    <n v="38.19"/>
    <n v="0"/>
    <x v="2"/>
    <m/>
  </r>
  <r>
    <n v="7568"/>
    <d v="2025-01-01T00:00:00"/>
    <n v="1019"/>
    <x v="3"/>
    <s v="Nike Shopping AnÃ¡lia Franco"/>
    <s v="Centro-Oeste"/>
    <s v="Online"/>
    <s v="Online"/>
    <n v="2961"/>
    <s v="Nike Dragon Ball Edition"/>
    <x v="6"/>
    <x v="0"/>
    <n v="2023"/>
    <n v="41"/>
    <s v="Purple/Silver"/>
    <n v="2"/>
    <n v="572.35"/>
    <s v="True"/>
    <n v="57.24"/>
    <n v="515.11"/>
    <n v="515.11"/>
    <s v="Credito em loja"/>
    <s v="CrÃ©dito em loja"/>
    <x v="2"/>
    <s v="Devolvido"/>
    <n v="2"/>
    <n v="4"/>
    <n v="68.680000000000007"/>
    <n v="28.62"/>
    <x v="0"/>
    <m/>
  </r>
  <r>
    <n v="7569"/>
    <d v="2025-01-23T00:00:00"/>
    <n v="1041"/>
    <x v="25"/>
    <s v="Nike Shopping Center Norte"/>
    <s v="Sul"/>
    <s v="Loja Física"/>
    <s v="Loja fÃ­sica"/>
    <n v="2561"/>
    <s v="Nike Loki Edition"/>
    <x v="1"/>
    <x v="0"/>
    <n v="2022"/>
    <n v="37"/>
    <s v="Red/Black"/>
    <n v="2"/>
    <n v="673.51"/>
    <s v="False"/>
    <n v="0"/>
    <n v="673.51"/>
    <n v="673.51"/>
    <s v="Credito em loja"/>
    <s v="CrÃ©dito em loja"/>
    <x v="0"/>
    <s v="Nenhuma"/>
    <n v="8"/>
    <n v="5"/>
    <n v="80.819999999999993"/>
    <n v="0"/>
    <x v="0"/>
    <m/>
  </r>
  <r>
    <n v="7570"/>
    <d v="2024-10-22T00:00:00"/>
    <n v="1050"/>
    <x v="11"/>
    <s v="Nike Shopping RioSul"/>
    <s v="Centro-Oeste"/>
    <s v="Loja Física"/>
    <s v="Loja fÃ­sica"/>
    <n v="2270"/>
    <s v="Nike Harry Potter Edition"/>
    <x v="2"/>
    <x v="1"/>
    <n v="2022"/>
    <n v="37"/>
    <s v="Black/Gold"/>
    <n v="3"/>
    <n v="452.73"/>
    <s v="False"/>
    <n v="0"/>
    <n v="452.73"/>
    <n v="452.73"/>
    <s v="Cartão"/>
    <s v="CartÃ£o"/>
    <x v="0"/>
    <s v="Nenhuma"/>
    <n v="5"/>
    <n v="2"/>
    <n v="54.33"/>
    <n v="0"/>
    <x v="2"/>
    <m/>
  </r>
  <r>
    <n v="7571"/>
    <d v="2024-10-25T00:00:00"/>
    <n v="1098"/>
    <x v="8"/>
    <s v="Nike Shopping Paralela"/>
    <s v="Centro-Oeste"/>
    <s v="Loja Física"/>
    <s v="Loja fÃ­sica"/>
    <n v="2712"/>
    <s v="Nike The Mandalorian Edition"/>
    <x v="4"/>
    <x v="2"/>
    <n v="2022"/>
    <n v="38"/>
    <s v="Red/Black"/>
    <n v="3"/>
    <n v="424.71"/>
    <s v="True"/>
    <n v="42.47"/>
    <n v="382.24"/>
    <n v="382.24"/>
    <s v="Cartão"/>
    <s v="CartÃ£o"/>
    <x v="2"/>
    <s v="Devolvido"/>
    <n v="11"/>
    <n v="2"/>
    <n v="50.97"/>
    <n v="21.24"/>
    <x v="1"/>
    <m/>
  </r>
  <r>
    <n v="7572"/>
    <d v="2024-12-14T00:00:00"/>
    <n v="1047"/>
    <x v="20"/>
    <s v="Nike Shopping da Bahia"/>
    <s v="Nordeste"/>
    <s v="Loja Física"/>
    <s v="Loja fÃ­sica"/>
    <n v="2879"/>
    <s v="Nike Rick and Morty Edition"/>
    <x v="1"/>
    <x v="0"/>
    <n v="2024"/>
    <n v="38"/>
    <s v="Green/Yellow"/>
    <n v="3"/>
    <n v="337.87"/>
    <s v="False"/>
    <n v="0"/>
    <n v="337.87"/>
    <n v="337.87"/>
    <s v="Boleto"/>
    <s v="Boleto"/>
    <x v="0"/>
    <s v="Nenhuma"/>
    <n v="8"/>
    <n v="1"/>
    <n v="40.54"/>
    <n v="0"/>
    <x v="1"/>
    <m/>
  </r>
  <r>
    <n v="7573"/>
    <d v="2024-12-13T00:00:00"/>
    <n v="1038"/>
    <x v="6"/>
    <s v="Nike Shopping JK Iguatemi"/>
    <s v="Sul"/>
    <s v="Loja Física"/>
    <s v="Loja fÃ­sica"/>
    <n v="2662"/>
    <s v="Nike Rick and Morty Edition"/>
    <x v="1"/>
    <x v="2"/>
    <n v="2023"/>
    <n v="38"/>
    <s v="Green/Yellow"/>
    <n v="3"/>
    <n v="718.36"/>
    <s v="True"/>
    <n v="71.84"/>
    <n v="646.52"/>
    <n v="646.52"/>
    <s v="Cartão"/>
    <s v="CartÃ£o"/>
    <x v="1"/>
    <s v="Em anÃ¡lise"/>
    <n v="13"/>
    <n v="2"/>
    <n v="86.2"/>
    <n v="35.92"/>
    <x v="0"/>
    <m/>
  </r>
  <r>
    <n v="7574"/>
    <d v="2024-08-12T00:00:00"/>
    <n v="1038"/>
    <x v="13"/>
    <s v="Nike AmÃ©ricas Shopping"/>
    <s v="Sul"/>
    <s v="Loja Física"/>
    <s v="Loja fÃ­sica"/>
    <n v="2515"/>
    <s v="Nike Naruto Edition"/>
    <x v="0"/>
    <x v="2"/>
    <n v="2022"/>
    <n v="42"/>
    <s v="Red/Black"/>
    <n v="1"/>
    <n v="592.53"/>
    <s v="True"/>
    <n v="59.25"/>
    <n v="533.28"/>
    <n v="533.28"/>
    <s v="Cartão"/>
    <s v="CartÃ£o"/>
    <x v="2"/>
    <s v="Devolvido"/>
    <n v="5"/>
    <n v="5"/>
    <n v="71.099999999999994"/>
    <n v="29.63"/>
    <x v="2"/>
    <m/>
  </r>
  <r>
    <n v="7575"/>
    <d v="2024-10-12T00:00:00"/>
    <n v="1075"/>
    <x v="16"/>
    <s v="Nike Salvador Shopping"/>
    <s v="Centro-Oeste"/>
    <s v="Marketplace"/>
    <s v="Marketplace"/>
    <n v="2470"/>
    <s v="Nike Stranger Things Edition"/>
    <x v="7"/>
    <x v="0"/>
    <n v="2023"/>
    <n v="38"/>
    <s v="Purple/Silver"/>
    <n v="1"/>
    <n v="776.08"/>
    <s v="False"/>
    <n v="0"/>
    <n v="776.08"/>
    <n v="776.08"/>
    <s v="Pix"/>
    <s v="Pix"/>
    <x v="2"/>
    <s v="Devolvido"/>
    <n v="7"/>
    <n v="1"/>
    <n v="93.13"/>
    <n v="0"/>
    <x v="1"/>
    <m/>
  </r>
  <r>
    <n v="7576"/>
    <d v="2024-09-19T00:00:00"/>
    <n v="1028"/>
    <x v="16"/>
    <s v="Nike Salvador Shopping"/>
    <s v="Sudeste"/>
    <s v="Online"/>
    <s v="Online"/>
    <n v="2645"/>
    <s v="Nike Rick and Morty Edition"/>
    <x v="5"/>
    <x v="0"/>
    <n v="2023"/>
    <n v="40"/>
    <s v="Purple/Silver"/>
    <n v="2"/>
    <n v="533.92999999999995"/>
    <s v="True"/>
    <n v="53.39"/>
    <n v="4.8053999999999904E+16"/>
    <n v="480.53999999999996"/>
    <s v="Boleto"/>
    <s v="Boleto"/>
    <x v="2"/>
    <s v="Devolvido"/>
    <n v="13"/>
    <n v="2"/>
    <n v="64.069999999999993"/>
    <n v="26.7"/>
    <x v="1"/>
    <m/>
  </r>
  <r>
    <n v="7577"/>
    <d v="2025-02-07T00:00:00"/>
    <n v="1068"/>
    <x v="28"/>
    <s v="Nike Shopping Nova AmÃ©rica"/>
    <s v="Norte"/>
    <s v="Marketplace"/>
    <s v="Marketplace"/>
    <n v="2389"/>
    <s v="Nike Rick and Morty Edition"/>
    <x v="0"/>
    <x v="2"/>
    <n v="2024"/>
    <n v="41"/>
    <s v="Green/Yellow"/>
    <n v="4"/>
    <n v="494.16"/>
    <s v="False"/>
    <n v="0"/>
    <n v="494.16"/>
    <n v="494.16"/>
    <s v="Cartão"/>
    <s v="CartÃ£o"/>
    <x v="2"/>
    <s v="Devolvido"/>
    <n v="8"/>
    <n v="1"/>
    <n v="59.3"/>
    <n v="0"/>
    <x v="2"/>
    <m/>
  </r>
  <r>
    <n v="7578"/>
    <d v="2025-02-12T00:00:00"/>
    <n v="1035"/>
    <x v="22"/>
    <s v="Nike Shopping Paseo"/>
    <s v="Sudeste"/>
    <s v="Loja Física"/>
    <s v="Loja fÃ­sica"/>
    <n v="3000"/>
    <s v="Nike Dragon Ball Edition"/>
    <x v="1"/>
    <x v="0"/>
    <n v="2023"/>
    <n v="37"/>
    <s v="Black/Gold"/>
    <n v="4"/>
    <n v="794.94"/>
    <s v="True"/>
    <n v="79.489999999999995"/>
    <n v="715.45"/>
    <n v="715.45"/>
    <s v="Credito em loja"/>
    <s v="CrÃ©dito em loja"/>
    <x v="0"/>
    <s v="Nenhuma"/>
    <n v="1"/>
    <n v="2"/>
    <n v="95.39"/>
    <n v="39.75"/>
    <x v="1"/>
    <m/>
  </r>
  <r>
    <n v="7579"/>
    <d v="2025-05-18T00:00:00"/>
    <n v="1088"/>
    <x v="1"/>
    <s v="Nike Shopping Aricanduva"/>
    <s v="Sul"/>
    <s v="Loja Física"/>
    <s v="Loja fÃ­sica"/>
    <n v="2748"/>
    <s v="Nike Loki Edition"/>
    <x v="0"/>
    <x v="2"/>
    <n v="2022"/>
    <n v="40"/>
    <s v="Black/Gold"/>
    <n v="2"/>
    <n v="468.87"/>
    <s v="False"/>
    <n v="0"/>
    <n v="468.87"/>
    <n v="468.87"/>
    <s v="Pix"/>
    <s v="Pix"/>
    <x v="0"/>
    <s v="Nenhuma"/>
    <n v="8"/>
    <n v="2"/>
    <n v="56.26"/>
    <n v="0"/>
    <x v="0"/>
    <m/>
  </r>
  <r>
    <n v="7580"/>
    <d v="2024-12-27T00:00:00"/>
    <n v="1018"/>
    <x v="15"/>
    <s v="Nike Boulevard Shopping"/>
    <s v="Sudeste"/>
    <s v="Loja Física"/>
    <s v="Loja fÃ­sica"/>
    <n v="2317"/>
    <s v="Nike Loki Edition"/>
    <x v="2"/>
    <x v="1"/>
    <n v="2022"/>
    <n v="40"/>
    <s v="Red/Black"/>
    <n v="5"/>
    <n v="440.04"/>
    <s v="True"/>
    <n v="44"/>
    <n v="396.04"/>
    <n v="396.04"/>
    <s v="Pix"/>
    <s v="Pix"/>
    <x v="0"/>
    <s v="Nenhuma"/>
    <n v="13"/>
    <n v="1"/>
    <n v="52.8"/>
    <n v="22"/>
    <x v="1"/>
    <m/>
  </r>
  <r>
    <n v="7581"/>
    <d v="2025-04-05T00:00:00"/>
    <n v="1011"/>
    <x v="15"/>
    <s v="Nike Boulevard Shopping"/>
    <s v="Norte"/>
    <s v="Online"/>
    <s v="Online"/>
    <n v="2281"/>
    <s v="Nike One Piece Edition"/>
    <x v="7"/>
    <x v="0"/>
    <n v="2024"/>
    <n v="42"/>
    <s v="White/Blue"/>
    <n v="2"/>
    <n v="412.36"/>
    <s v="True"/>
    <n v="41.24"/>
    <n v="371.12"/>
    <n v="371.12"/>
    <s v="Credito em loja"/>
    <s v="CrÃ©dito em loja"/>
    <x v="1"/>
    <s v="Em anÃ¡lise"/>
    <n v="9"/>
    <n v="2"/>
    <n v="49.48"/>
    <n v="20.62"/>
    <x v="1"/>
    <m/>
  </r>
  <r>
    <n v="7582"/>
    <d v="2024-10-22T00:00:00"/>
    <n v="1046"/>
    <x v="27"/>
    <s v="Nike Shopping Center Lapa"/>
    <s v="Sul"/>
    <s v="Loja Física"/>
    <s v="Loja fÃ­sica"/>
    <n v="2987"/>
    <s v="Nike Dragon Ball Edition"/>
    <x v="0"/>
    <x v="0"/>
    <n v="2022"/>
    <n v="38"/>
    <s v="Red/Black"/>
    <n v="2"/>
    <n v="537.12"/>
    <s v="True"/>
    <n v="53.71"/>
    <n v="483.41"/>
    <n v="483.41"/>
    <s v="Boleto"/>
    <s v="Boleto"/>
    <x v="2"/>
    <s v="Devolvido"/>
    <n v="4"/>
    <n v="3"/>
    <n v="64.45"/>
    <n v="26.86"/>
    <x v="1"/>
    <m/>
  </r>
  <r>
    <n v="7583"/>
    <d v="2025-05-12T00:00:00"/>
    <n v="1043"/>
    <x v="11"/>
    <s v="Nike Shopping RioSul"/>
    <s v="Sul"/>
    <s v="Loja Física"/>
    <s v="Loja fÃ­sica"/>
    <n v="2467"/>
    <s v="Nike One Piece Edition"/>
    <x v="5"/>
    <x v="2"/>
    <n v="2024"/>
    <n v="41"/>
    <s v="Red/Black"/>
    <n v="1"/>
    <n v="326.25"/>
    <s v="False"/>
    <n v="0"/>
    <n v="326.25"/>
    <n v="326.25"/>
    <s v="Pix"/>
    <s v="Pix"/>
    <x v="2"/>
    <s v="Devolvido"/>
    <n v="6"/>
    <n v="1"/>
    <n v="39.15"/>
    <n v="0"/>
    <x v="2"/>
    <m/>
  </r>
  <r>
    <n v="7584"/>
    <d v="2025-01-17T00:00:00"/>
    <n v="1086"/>
    <x v="11"/>
    <s v="Nike Shopping RioSul"/>
    <s v="Sudeste"/>
    <s v="Loja Física"/>
    <s v="Loja fÃ­sica"/>
    <n v="2187"/>
    <s v="Nike Loki Edition"/>
    <x v="4"/>
    <x v="1"/>
    <n v="2023"/>
    <n v="38"/>
    <s v="Purple/Silver"/>
    <n v="2"/>
    <n v="518.94000000000005"/>
    <s v="False"/>
    <n v="0"/>
    <n v="518.94000000000005"/>
    <n v="518.94000000000005"/>
    <s v="Cartão"/>
    <s v="CartÃ£o"/>
    <x v="1"/>
    <s v="Em anÃ¡lise"/>
    <n v="8"/>
    <n v="1"/>
    <n v="62.27"/>
    <n v="0"/>
    <x v="2"/>
    <m/>
  </r>
  <r>
    <n v="7585"/>
    <d v="2025-05-12T00:00:00"/>
    <n v="1037"/>
    <x v="0"/>
    <s v="Nike Shopping Vila OlÃ­mpia"/>
    <s v="Norte"/>
    <s v="Online"/>
    <s v="Online"/>
    <n v="2485"/>
    <s v="Nike Rick and Morty Edition"/>
    <x v="2"/>
    <x v="1"/>
    <n v="2023"/>
    <n v="37"/>
    <s v="White/Blue"/>
    <n v="2"/>
    <n v="462.26"/>
    <s v="False"/>
    <n v="0"/>
    <n v="462.26"/>
    <n v="462.26"/>
    <s v="Credito em loja"/>
    <s v="CrÃ©dito em loja"/>
    <x v="1"/>
    <s v="Em anÃ¡lise"/>
    <n v="15"/>
    <n v="5"/>
    <n v="55.47"/>
    <n v="0"/>
    <x v="0"/>
    <m/>
  </r>
  <r>
    <n v="7586"/>
    <d v="2024-08-20T00:00:00"/>
    <n v="1009"/>
    <x v="10"/>
    <s v="Nike Plaza Shopping NiterÃ³i"/>
    <s v="Sul"/>
    <s v="Loja Física"/>
    <s v="Loja fÃ­sica"/>
    <n v="2710"/>
    <s v="Nike Loki Edition"/>
    <x v="4"/>
    <x v="1"/>
    <n v="2024"/>
    <n v="37"/>
    <s v="Black/Gold"/>
    <n v="1"/>
    <n v="574.17999999999995"/>
    <s v="False"/>
    <n v="0"/>
    <n v="574.17999999999995"/>
    <n v="574.17999999999995"/>
    <s v="Cartão"/>
    <s v="CartÃ£o"/>
    <x v="1"/>
    <s v="Em anÃ¡lise"/>
    <n v="3"/>
    <n v="3"/>
    <n v="68.900000000000006"/>
    <n v="0"/>
    <x v="2"/>
    <m/>
  </r>
  <r>
    <n v="7587"/>
    <d v="2025-02-20T00:00:00"/>
    <n v="1067"/>
    <x v="15"/>
    <s v="Nike Boulevard Shopping"/>
    <s v="Nordeste"/>
    <s v="Marketplace"/>
    <s v="Marketplace"/>
    <n v="2311"/>
    <s v="Nike Harry Potter Edition"/>
    <x v="4"/>
    <x v="2"/>
    <n v="2022"/>
    <n v="37"/>
    <s v="Green/Yellow"/>
    <n v="1"/>
    <n v="731.44"/>
    <s v="True"/>
    <n v="73.14"/>
    <n v="6583000000000000"/>
    <n v="658.30000000000007"/>
    <s v="Pix"/>
    <s v="Pix"/>
    <x v="1"/>
    <s v="Em anÃ¡lise"/>
    <n v="13"/>
    <n v="2"/>
    <n v="87.77"/>
    <n v="36.57"/>
    <x v="1"/>
    <m/>
  </r>
  <r>
    <n v="7588"/>
    <d v="2025-04-09T00:00:00"/>
    <n v="1022"/>
    <x v="19"/>
    <s v="Nike Shopping Barra"/>
    <s v="Norte"/>
    <s v="Marketplace"/>
    <s v="Marketplace"/>
    <n v="2252"/>
    <s v="Nike Naruto Edition"/>
    <x v="3"/>
    <x v="1"/>
    <n v="2024"/>
    <n v="40"/>
    <s v="Black/Gold"/>
    <n v="4"/>
    <n v="517.46"/>
    <s v="False"/>
    <n v="0"/>
    <n v="517.46"/>
    <n v="517.46"/>
    <s v="Cartão"/>
    <s v="CartÃ£o"/>
    <x v="0"/>
    <s v="Nenhuma"/>
    <n v="3"/>
    <n v="2"/>
    <n v="62.1"/>
    <n v="0"/>
    <x v="1"/>
    <m/>
  </r>
  <r>
    <n v="7589"/>
    <d v="2024-06-11T00:00:00"/>
    <n v="1043"/>
    <x v="9"/>
    <s v="Nike Shopping Cidade SÃ£o Paulo"/>
    <s v="Sudeste"/>
    <s v="Marketplace"/>
    <s v="Marketplace"/>
    <n v="2765"/>
    <s v="Nike Loki Edition"/>
    <x v="2"/>
    <x v="0"/>
    <n v="2024"/>
    <n v="39"/>
    <s v="Black/Gold"/>
    <n v="3"/>
    <n v="739.31"/>
    <s v="False"/>
    <n v="0"/>
    <n v="739.31"/>
    <n v="739.31"/>
    <s v="Cartão"/>
    <s v="CartÃ£o"/>
    <x v="2"/>
    <s v="Devolvido"/>
    <n v="6"/>
    <n v="1"/>
    <n v="88.72"/>
    <n v="0"/>
    <x v="0"/>
    <m/>
  </r>
  <r>
    <n v="7590"/>
    <d v="2024-08-02T00:00:00"/>
    <n v="1026"/>
    <x v="14"/>
    <s v="Nike Shopping Leblon"/>
    <s v="Norte"/>
    <s v="Online"/>
    <s v="Online"/>
    <n v="2508"/>
    <s v="Nike Naruto Edition"/>
    <x v="2"/>
    <x v="0"/>
    <n v="2023"/>
    <n v="37"/>
    <s v="Red/Black"/>
    <n v="5"/>
    <n v="433.91"/>
    <s v="False"/>
    <n v="0"/>
    <n v="433.91"/>
    <n v="433.91"/>
    <s v="Credito em loja"/>
    <s v="CrÃ©dito em loja"/>
    <x v="1"/>
    <s v="Em anÃ¡lise"/>
    <n v="12"/>
    <n v="5"/>
    <n v="52.07"/>
    <n v="0"/>
    <x v="2"/>
    <m/>
  </r>
  <r>
    <n v="7591"/>
    <d v="2025-03-27T00:00:00"/>
    <n v="1063"/>
    <x v="29"/>
    <s v="Nike Shopping Downtown"/>
    <s v="Nordeste"/>
    <s v="Marketplace"/>
    <s v="Marketplace"/>
    <n v="2501"/>
    <s v="Nike Loki Edition"/>
    <x v="1"/>
    <x v="1"/>
    <n v="2022"/>
    <n v="37"/>
    <s v="Red/Black"/>
    <n v="2"/>
    <n v="564.51"/>
    <s v="True"/>
    <n v="56.45"/>
    <n v="508.06"/>
    <n v="508.06"/>
    <s v="Credito em loja"/>
    <s v="CrÃ©dito em loja"/>
    <x v="1"/>
    <s v="Em anÃ¡lise"/>
    <n v="3"/>
    <n v="3"/>
    <n v="67.739999999999995"/>
    <n v="28.23"/>
    <x v="2"/>
    <m/>
  </r>
  <r>
    <n v="7592"/>
    <d v="2025-01-02T00:00:00"/>
    <n v="1052"/>
    <x v="26"/>
    <s v="Nike Shopping Tijuca"/>
    <s v="Centro-Oeste"/>
    <s v="Marketplace"/>
    <s v="Marketplace"/>
    <n v="2264"/>
    <s v="Nike Harry Potter Edition"/>
    <x v="7"/>
    <x v="2"/>
    <n v="2022"/>
    <n v="38"/>
    <s v="White/Blue"/>
    <n v="1"/>
    <n v="345.46"/>
    <s v="False"/>
    <n v="0"/>
    <n v="345.46"/>
    <n v="345.46"/>
    <s v="Cartão"/>
    <s v="CartÃ£o"/>
    <x v="0"/>
    <s v="Nenhuma"/>
    <n v="5"/>
    <n v="2"/>
    <n v="41.46"/>
    <n v="0"/>
    <x v="2"/>
    <m/>
  </r>
  <r>
    <n v="7593"/>
    <d v="2025-01-12T00:00:00"/>
    <n v="1000"/>
    <x v="10"/>
    <s v="Nike Plaza Shopping NiterÃ³i"/>
    <s v="Sul"/>
    <s v="Loja Física"/>
    <s v="Loja fÃ­sica"/>
    <n v="2598"/>
    <s v="Nike Harry Potter Edition"/>
    <x v="4"/>
    <x v="1"/>
    <n v="2022"/>
    <n v="39"/>
    <s v="Purple/Silver"/>
    <n v="5"/>
    <n v="674.91"/>
    <s v="False"/>
    <n v="0"/>
    <n v="674.91"/>
    <n v="674.91"/>
    <s v="Boleto"/>
    <s v="Boleto"/>
    <x v="0"/>
    <s v="Nenhuma"/>
    <n v="2"/>
    <n v="4"/>
    <n v="80.989999999999995"/>
    <n v="0"/>
    <x v="2"/>
    <m/>
  </r>
  <r>
    <n v="7594"/>
    <d v="2025-01-01T00:00:00"/>
    <n v="1045"/>
    <x v="18"/>
    <s v="Nike BarraShopping"/>
    <s v="Nordeste"/>
    <s v="Loja Física"/>
    <s v="Loja fÃ­sica"/>
    <n v="2755"/>
    <s v="Nike Dragon Ball Edition"/>
    <x v="3"/>
    <x v="1"/>
    <n v="2022"/>
    <n v="37"/>
    <s v="Purple/Silver"/>
    <n v="2"/>
    <n v="581.42999999999995"/>
    <s v="False"/>
    <n v="0"/>
    <n v="581.42999999999995"/>
    <n v="581.42999999999995"/>
    <s v="Pix"/>
    <s v="Pix"/>
    <x v="1"/>
    <s v="Em anÃ¡lise"/>
    <n v="4"/>
    <n v="4"/>
    <n v="69.77"/>
    <n v="0"/>
    <x v="2"/>
    <m/>
  </r>
  <r>
    <n v="7595"/>
    <d v="2025-01-26T00:00:00"/>
    <n v="1002"/>
    <x v="27"/>
    <s v="Nike Shopping Center Lapa"/>
    <s v="Centro-Oeste"/>
    <s v="Marketplace"/>
    <s v="Marketplace"/>
    <n v="2351"/>
    <s v="Nike Stranger Things Edition"/>
    <x v="7"/>
    <x v="1"/>
    <n v="2022"/>
    <n v="39"/>
    <s v="Red/Black"/>
    <n v="3"/>
    <n v="727.86"/>
    <s v="False"/>
    <n v="0"/>
    <n v="727.86"/>
    <n v="727.86"/>
    <s v="Credito em loja"/>
    <s v="CrÃ©dito em loja"/>
    <x v="1"/>
    <s v="Em anÃ¡lise"/>
    <n v="15"/>
    <n v="1"/>
    <n v="87.34"/>
    <n v="0"/>
    <x v="1"/>
    <m/>
  </r>
  <r>
    <n v="7596"/>
    <d v="2024-11-12T00:00:00"/>
    <n v="1000"/>
    <x v="9"/>
    <s v="Nike Shopping Cidade SÃ£o Paulo"/>
    <s v="Sudeste"/>
    <s v="Online"/>
    <s v="Online"/>
    <n v="2053"/>
    <s v="Nike One Piece Edition"/>
    <x v="1"/>
    <x v="0"/>
    <n v="2024"/>
    <n v="37"/>
    <s v="Green/Yellow"/>
    <n v="2"/>
    <n v="397.85"/>
    <s v="False"/>
    <n v="0"/>
    <n v="397.85"/>
    <n v="397.85"/>
    <s v="Pix"/>
    <s v="Pix"/>
    <x v="0"/>
    <s v="Nenhuma"/>
    <n v="13"/>
    <n v="2"/>
    <n v="47.74"/>
    <n v="0"/>
    <x v="0"/>
    <m/>
  </r>
  <r>
    <n v="7597"/>
    <d v="2025-02-11T00:00:00"/>
    <n v="1100"/>
    <x v="21"/>
    <s v="Nike Shopping Via Parque"/>
    <s v="Sul"/>
    <s v="Loja Física"/>
    <s v="Loja fÃ­sica"/>
    <n v="2093"/>
    <s v="Nike Rick and Morty Edition"/>
    <x v="6"/>
    <x v="2"/>
    <n v="2022"/>
    <n v="40"/>
    <s v="White/Blue"/>
    <n v="4"/>
    <n v="335.35"/>
    <s v="True"/>
    <n v="33.54"/>
    <n v="301.81"/>
    <n v="301.81"/>
    <s v="Boleto"/>
    <s v="Boleto"/>
    <x v="0"/>
    <s v="Nenhuma"/>
    <n v="2"/>
    <n v="3"/>
    <n v="40.24"/>
    <n v="16.77"/>
    <x v="2"/>
    <m/>
  </r>
  <r>
    <n v="7598"/>
    <d v="2024-07-09T00:00:00"/>
    <n v="1042"/>
    <x v="14"/>
    <s v="Nike Shopping Leblon"/>
    <s v="Sul"/>
    <s v="Online"/>
    <s v="Online"/>
    <n v="2287"/>
    <s v="Nike Dragon Ball Edition"/>
    <x v="4"/>
    <x v="1"/>
    <n v="2023"/>
    <n v="38"/>
    <s v="Green/Yellow"/>
    <n v="3"/>
    <n v="463.41"/>
    <s v="False"/>
    <n v="0"/>
    <n v="463.41"/>
    <n v="463.41"/>
    <s v="Boleto"/>
    <s v="Boleto"/>
    <x v="0"/>
    <s v="Nenhuma"/>
    <n v="9"/>
    <n v="4"/>
    <n v="55.61"/>
    <n v="0"/>
    <x v="2"/>
    <m/>
  </r>
  <r>
    <n v="7599"/>
    <d v="2025-05-15T00:00:00"/>
    <n v="1017"/>
    <x v="2"/>
    <s v="Nike Shopping PÃ¡tio Paulista"/>
    <s v="Nordeste"/>
    <s v="Online"/>
    <s v="Online"/>
    <n v="2430"/>
    <s v="Nike Harry Potter Edition"/>
    <x v="3"/>
    <x v="1"/>
    <n v="2024"/>
    <n v="40"/>
    <s v="White/Blue"/>
    <n v="5"/>
    <n v="613.28"/>
    <s v="False"/>
    <n v="0"/>
    <n v="613.28"/>
    <n v="613.28"/>
    <s v="Credito em loja"/>
    <s v="CrÃ©dito em loja"/>
    <x v="2"/>
    <s v="Devolvido"/>
    <n v="14"/>
    <n v="2"/>
    <n v="73.59"/>
    <n v="0"/>
    <x v="0"/>
    <m/>
  </r>
  <r>
    <n v="7600"/>
    <d v="2025-03-13T00:00:00"/>
    <n v="1059"/>
    <x v="27"/>
    <s v="Nike Shopping Center Lapa"/>
    <s v="Nordeste"/>
    <s v="Online"/>
    <s v="Online"/>
    <n v="2611"/>
    <s v="Nike One Piece Edition"/>
    <x v="6"/>
    <x v="2"/>
    <n v="2022"/>
    <n v="37"/>
    <s v="Purple/Silver"/>
    <n v="2"/>
    <n v="407.48"/>
    <s v="False"/>
    <n v="0"/>
    <n v="407.48"/>
    <n v="407.48"/>
    <s v="Credito em loja"/>
    <s v="CrÃ©dito em loja"/>
    <x v="1"/>
    <s v="Em anÃ¡lise"/>
    <n v="4"/>
    <n v="3"/>
    <n v="48.9"/>
    <n v="0"/>
    <x v="1"/>
    <m/>
  </r>
  <r>
    <n v="7601"/>
    <d v="2024-12-25T00:00:00"/>
    <n v="1041"/>
    <x v="10"/>
    <s v="Nike Plaza Shopping NiterÃ³i"/>
    <s v="Sul"/>
    <s v="Marketplace"/>
    <s v="Marketplace"/>
    <n v="2234"/>
    <s v="Nike Naruto Edition"/>
    <x v="3"/>
    <x v="2"/>
    <n v="2023"/>
    <n v="41"/>
    <s v="Green/Yellow"/>
    <n v="1"/>
    <n v="320.23"/>
    <s v="True"/>
    <n v="32.020000000000003"/>
    <n v="2.8821E+16"/>
    <n v="288.21000000000004"/>
    <s v="Cartão"/>
    <s v="CartÃ£o"/>
    <x v="1"/>
    <s v="Em anÃ¡lise"/>
    <n v="9"/>
    <n v="4"/>
    <n v="38.43"/>
    <n v="16.010000000000002"/>
    <x v="2"/>
    <m/>
  </r>
  <r>
    <n v="7602"/>
    <d v="2025-01-19T00:00:00"/>
    <n v="1036"/>
    <x v="5"/>
    <s v="Nike Shopping Iguatemi"/>
    <s v="Sudeste"/>
    <s v="Marketplace"/>
    <s v="Marketplace"/>
    <n v="2826"/>
    <s v="Nike The Mandalorian Edition"/>
    <x v="7"/>
    <x v="0"/>
    <n v="2022"/>
    <n v="41"/>
    <s v="White/Blue"/>
    <n v="3"/>
    <n v="745.32"/>
    <s v="False"/>
    <n v="0"/>
    <n v="745.32"/>
    <n v="745.32"/>
    <s v="Pix"/>
    <s v="Pix"/>
    <x v="0"/>
    <s v="Nenhuma"/>
    <n v="12"/>
    <n v="5"/>
    <n v="89.44"/>
    <n v="0"/>
    <x v="0"/>
    <m/>
  </r>
  <r>
    <n v="7603"/>
    <d v="2024-08-30T00:00:00"/>
    <n v="1087"/>
    <x v="16"/>
    <s v="Nike Salvador Shopping"/>
    <s v="Centro-Oeste"/>
    <s v="Loja Física"/>
    <s v="Loja fÃ­sica"/>
    <n v="2226"/>
    <s v="Nike Loki Edition"/>
    <x v="6"/>
    <x v="2"/>
    <n v="2023"/>
    <n v="40"/>
    <s v="Green/Yellow"/>
    <n v="5"/>
    <n v="431.03"/>
    <s v="True"/>
    <n v="43.1"/>
    <n v="3.8792999999999904E+16"/>
    <n v="387.92999999999995"/>
    <s v="Cartão"/>
    <s v="CartÃ£o"/>
    <x v="2"/>
    <s v="Devolvido"/>
    <n v="10"/>
    <n v="4"/>
    <n v="51.72"/>
    <n v="21.55"/>
    <x v="1"/>
    <m/>
  </r>
  <r>
    <n v="7604"/>
    <d v="2024-09-15T00:00:00"/>
    <n v="1085"/>
    <x v="5"/>
    <s v="Nike Shopping Iguatemi"/>
    <s v="Sudeste"/>
    <s v="Loja Física"/>
    <s v="Loja fÃ­sica"/>
    <n v="2961"/>
    <s v="Nike Naruto Edition"/>
    <x v="6"/>
    <x v="2"/>
    <n v="2022"/>
    <n v="38"/>
    <s v="Purple/Silver"/>
    <n v="1"/>
    <n v="413.47"/>
    <s v="False"/>
    <n v="0"/>
    <n v="413.47"/>
    <n v="413.47"/>
    <s v="Cartão"/>
    <s v="CartÃ£o"/>
    <x v="2"/>
    <s v="Devolvido"/>
    <n v="4"/>
    <n v="3"/>
    <n v="49.62"/>
    <n v="0"/>
    <x v="0"/>
    <m/>
  </r>
  <r>
    <n v="7605"/>
    <d v="2024-07-25T00:00:00"/>
    <n v="1020"/>
    <x v="13"/>
    <s v="Nike AmÃ©ricas Shopping"/>
    <s v="Nordeste"/>
    <s v="Loja Física"/>
    <s v="Loja fÃ­sica"/>
    <n v="2711"/>
    <s v="Nike Loki Edition"/>
    <x v="6"/>
    <x v="1"/>
    <n v="2022"/>
    <n v="41"/>
    <s v="White/Blue"/>
    <n v="3"/>
    <n v="498.87"/>
    <s v="False"/>
    <n v="0"/>
    <n v="498.87"/>
    <n v="498.87"/>
    <s v="Pix"/>
    <s v="Pix"/>
    <x v="0"/>
    <s v="Nenhuma"/>
    <n v="11"/>
    <n v="2"/>
    <n v="59.86"/>
    <n v="0"/>
    <x v="2"/>
    <m/>
  </r>
  <r>
    <n v="7606"/>
    <d v="2025-05-06T00:00:00"/>
    <n v="1093"/>
    <x v="21"/>
    <s v="Nike Shopping Via Parque"/>
    <s v="Sul"/>
    <s v="Online"/>
    <s v="Online"/>
    <n v="2624"/>
    <s v="Nike The Mandalorian Edition"/>
    <x v="0"/>
    <x v="2"/>
    <n v="2023"/>
    <n v="42"/>
    <s v="Green/Yellow"/>
    <n v="2"/>
    <n v="631.24"/>
    <s v="True"/>
    <n v="63.12"/>
    <n v="568.12"/>
    <n v="568.12"/>
    <s v="Credito em loja"/>
    <s v="CrÃ©dito em loja"/>
    <x v="2"/>
    <s v="Devolvido"/>
    <n v="8"/>
    <n v="3"/>
    <n v="75.75"/>
    <n v="31.56"/>
    <x v="2"/>
    <m/>
  </r>
  <r>
    <n v="7607"/>
    <d v="2025-02-14T00:00:00"/>
    <n v="1035"/>
    <x v="22"/>
    <s v="Nike Shopping Paseo"/>
    <s v="Sudeste"/>
    <s v="Marketplace"/>
    <s v="Marketplace"/>
    <n v="2078"/>
    <s v="Nike Stranger Things Edition"/>
    <x v="1"/>
    <x v="0"/>
    <n v="2022"/>
    <n v="37"/>
    <s v="Purple/Silver"/>
    <n v="4"/>
    <n v="389.48"/>
    <s v="True"/>
    <n v="38.950000000000003"/>
    <n v="3.5053E+16"/>
    <n v="350.53000000000003"/>
    <s v="Credito em loja"/>
    <s v="CrÃ©dito em loja"/>
    <x v="0"/>
    <s v="Nenhuma"/>
    <n v="5"/>
    <n v="5"/>
    <n v="46.74"/>
    <n v="19.47"/>
    <x v="1"/>
    <m/>
  </r>
  <r>
    <n v="7608"/>
    <d v="2025-01-12T00:00:00"/>
    <n v="1053"/>
    <x v="0"/>
    <s v="Nike Shopping Vila OlÃ­mpia"/>
    <s v="Sul"/>
    <s v="Online"/>
    <s v="Online"/>
    <n v="2560"/>
    <s v="Nike The Mandalorian Edition"/>
    <x v="7"/>
    <x v="1"/>
    <n v="2022"/>
    <n v="40"/>
    <s v="Green/Yellow"/>
    <n v="5"/>
    <n v="412.36"/>
    <s v="True"/>
    <n v="41.24"/>
    <n v="371.12"/>
    <n v="371.12"/>
    <s v="Credito em loja"/>
    <s v="CrÃ©dito em loja"/>
    <x v="2"/>
    <s v="Devolvido"/>
    <n v="1"/>
    <n v="4"/>
    <n v="49.48"/>
    <n v="20.62"/>
    <x v="0"/>
    <m/>
  </r>
  <r>
    <n v="7609"/>
    <d v="2025-02-13T00:00:00"/>
    <n v="1045"/>
    <x v="13"/>
    <s v="Nike AmÃ©ricas Shopping"/>
    <s v="Centro-Oeste"/>
    <s v="Loja Física"/>
    <s v="Loja fÃ­sica"/>
    <n v="2543"/>
    <s v="Nike Harry Potter Edition"/>
    <x v="2"/>
    <x v="0"/>
    <n v="2024"/>
    <n v="37"/>
    <s v="Purple/Silver"/>
    <n v="3"/>
    <n v="465.05"/>
    <s v="False"/>
    <n v="0"/>
    <n v="465.05"/>
    <n v="465.05"/>
    <s v="Cartão"/>
    <s v="CartÃ£o"/>
    <x v="1"/>
    <s v="Em anÃ¡lise"/>
    <n v="3"/>
    <n v="3"/>
    <n v="55.81"/>
    <n v="0"/>
    <x v="2"/>
    <m/>
  </r>
  <r>
    <n v="7610"/>
    <d v="2024-06-15T00:00:00"/>
    <n v="1072"/>
    <x v="8"/>
    <s v="Nike Shopping Paralela"/>
    <s v="Nordeste"/>
    <s v="Online"/>
    <s v="Online"/>
    <n v="2473"/>
    <s v="Nike Loki Edition"/>
    <x v="2"/>
    <x v="0"/>
    <n v="2022"/>
    <n v="42"/>
    <s v="Purple/Silver"/>
    <n v="3"/>
    <n v="703.53"/>
    <s v="False"/>
    <n v="0"/>
    <n v="703.53"/>
    <n v="703.53"/>
    <s v="Cartão"/>
    <s v="CartÃ£o"/>
    <x v="1"/>
    <s v="Em anÃ¡lise"/>
    <n v="9"/>
    <n v="3"/>
    <n v="84.42"/>
    <n v="0"/>
    <x v="1"/>
    <m/>
  </r>
  <r>
    <n v="7611"/>
    <d v="2024-07-14T00:00:00"/>
    <n v="1031"/>
    <x v="25"/>
    <s v="Nike Shopping Center Norte"/>
    <s v="Norte"/>
    <s v="Online"/>
    <s v="Online"/>
    <n v="2435"/>
    <s v="Nike Naruto Edition"/>
    <x v="6"/>
    <x v="0"/>
    <n v="2024"/>
    <n v="38"/>
    <s v="Purple/Silver"/>
    <n v="1"/>
    <n v="793.79"/>
    <s v="True"/>
    <n v="79.38"/>
    <n v="714.41"/>
    <n v="714.41"/>
    <s v="Boleto"/>
    <s v="Boleto"/>
    <x v="0"/>
    <s v="Nenhuma"/>
    <n v="8"/>
    <n v="5"/>
    <n v="95.25"/>
    <n v="39.69"/>
    <x v="0"/>
    <m/>
  </r>
  <r>
    <n v="7612"/>
    <d v="2024-07-19T00:00:00"/>
    <n v="1095"/>
    <x v="8"/>
    <s v="Nike Shopping Paralela"/>
    <s v="Sudeste"/>
    <s v="Marketplace"/>
    <s v="Marketplace"/>
    <n v="2226"/>
    <s v="Nike One Piece Edition"/>
    <x v="7"/>
    <x v="1"/>
    <n v="2024"/>
    <n v="37"/>
    <s v="Red/Black"/>
    <n v="2"/>
    <n v="365.8"/>
    <s v="True"/>
    <n v="36.58"/>
    <n v="329.22"/>
    <n v="329.22"/>
    <s v="Pix"/>
    <s v="Pix"/>
    <x v="1"/>
    <s v="Em anÃ¡lise"/>
    <n v="13"/>
    <n v="3"/>
    <n v="43.9"/>
    <n v="18.29"/>
    <x v="1"/>
    <m/>
  </r>
  <r>
    <n v="7613"/>
    <d v="2024-10-10T00:00:00"/>
    <n v="1029"/>
    <x v="6"/>
    <s v="Nike Shopping JK Iguatemi"/>
    <s v="Sudeste"/>
    <s v="Marketplace"/>
    <s v="Marketplace"/>
    <n v="2824"/>
    <s v="Nike Rick and Morty Edition"/>
    <x v="7"/>
    <x v="2"/>
    <n v="2023"/>
    <n v="38"/>
    <s v="Red/Black"/>
    <n v="5"/>
    <n v="501.96"/>
    <s v="False"/>
    <n v="0"/>
    <n v="501.96"/>
    <n v="501.96"/>
    <s v="Credito em loja"/>
    <s v="CrÃ©dito em loja"/>
    <x v="0"/>
    <s v="Nenhuma"/>
    <n v="1"/>
    <n v="2"/>
    <n v="60.24"/>
    <n v="0"/>
    <x v="0"/>
    <m/>
  </r>
  <r>
    <n v="7614"/>
    <d v="2024-12-25T00:00:00"/>
    <n v="1056"/>
    <x v="7"/>
    <s v="Nike Shopping Metropolitano"/>
    <s v="Sul"/>
    <s v="Online"/>
    <s v="Online"/>
    <n v="2883"/>
    <s v="Nike Harry Potter Edition"/>
    <x v="4"/>
    <x v="0"/>
    <n v="2024"/>
    <n v="40"/>
    <s v="Green/Yellow"/>
    <n v="4"/>
    <n v="785.61"/>
    <s v="True"/>
    <n v="78.56"/>
    <n v="707.05"/>
    <n v="707.05"/>
    <s v="Credito em loja"/>
    <s v="CrÃ©dito em loja"/>
    <x v="1"/>
    <s v="Em anÃ¡lise"/>
    <n v="15"/>
    <n v="2"/>
    <n v="94.27"/>
    <n v="39.28"/>
    <x v="2"/>
    <m/>
  </r>
  <r>
    <n v="7615"/>
    <d v="2024-08-01T00:00:00"/>
    <n v="1003"/>
    <x v="4"/>
    <s v="Nike Shopping Morumbi"/>
    <s v="Nordeste"/>
    <s v="Marketplace"/>
    <s v="Marketplace"/>
    <n v="2834"/>
    <s v="Nike Rick and Morty Edition"/>
    <x v="6"/>
    <x v="2"/>
    <n v="2023"/>
    <n v="41"/>
    <s v="Red/Black"/>
    <n v="5"/>
    <n v="663.08"/>
    <s v="True"/>
    <n v="66.31"/>
    <n v="596.77"/>
    <n v="596.77"/>
    <s v="Boleto"/>
    <s v="Boleto"/>
    <x v="1"/>
    <s v="Em anÃ¡lise"/>
    <n v="10"/>
    <n v="4"/>
    <n v="79.569999999999993"/>
    <n v="33.15"/>
    <x v="0"/>
    <m/>
  </r>
  <r>
    <n v="7616"/>
    <d v="2024-05-27T00:00:00"/>
    <n v="1095"/>
    <x v="15"/>
    <s v="Nike Boulevard Shopping"/>
    <s v="Sul"/>
    <s v="Marketplace"/>
    <s v="Marketplace"/>
    <n v="2535"/>
    <s v="Nike Rick and Morty Edition"/>
    <x v="2"/>
    <x v="0"/>
    <n v="2024"/>
    <n v="40"/>
    <s v="White/Blue"/>
    <n v="3"/>
    <n v="351.08"/>
    <s v="True"/>
    <n v="35.11"/>
    <n v="3.15969999999999E+16"/>
    <n v="315.96999999999997"/>
    <s v="Credito em loja"/>
    <s v="CrÃ©dito em loja"/>
    <x v="0"/>
    <s v="Nenhuma"/>
    <n v="10"/>
    <n v="5"/>
    <n v="42.13"/>
    <n v="17.55"/>
    <x v="1"/>
    <m/>
  </r>
  <r>
    <n v="7617"/>
    <d v="2025-02-20T00:00:00"/>
    <n v="1089"/>
    <x v="10"/>
    <s v="Nike Plaza Shopping NiterÃ³i"/>
    <s v="Norte"/>
    <s v="Loja Física"/>
    <s v="Loja fÃ­sica"/>
    <n v="2931"/>
    <s v="Nike Stranger Things Edition"/>
    <x v="4"/>
    <x v="1"/>
    <n v="2022"/>
    <n v="40"/>
    <s v="Green/Yellow"/>
    <n v="5"/>
    <n v="787.78"/>
    <s v="False"/>
    <n v="0"/>
    <n v="787.78"/>
    <n v="787.78"/>
    <s v="Pix"/>
    <s v="Pix"/>
    <x v="2"/>
    <s v="Devolvido"/>
    <n v="14"/>
    <n v="3"/>
    <n v="94.53"/>
    <n v="0"/>
    <x v="2"/>
    <m/>
  </r>
  <r>
    <n v="7618"/>
    <d v="2024-08-07T00:00:00"/>
    <n v="1066"/>
    <x v="28"/>
    <s v="Nike Shopping Nova AmÃ©rica"/>
    <s v="Norte"/>
    <s v="Online"/>
    <s v="Online"/>
    <n v="2663"/>
    <s v="Nike Stranger Things Edition"/>
    <x v="4"/>
    <x v="1"/>
    <n v="2022"/>
    <n v="40"/>
    <s v="Purple/Silver"/>
    <n v="1"/>
    <n v="664.09"/>
    <s v="False"/>
    <n v="0"/>
    <n v="664.09"/>
    <n v="664.09"/>
    <s v="Boleto"/>
    <s v="Boleto"/>
    <x v="2"/>
    <s v="Devolvido"/>
    <n v="6"/>
    <n v="3"/>
    <n v="79.69"/>
    <n v="0"/>
    <x v="2"/>
    <m/>
  </r>
  <r>
    <n v="7619"/>
    <d v="2024-07-13T00:00:00"/>
    <n v="1044"/>
    <x v="19"/>
    <s v="Nike Shopping Barra"/>
    <s v="Nordeste"/>
    <s v="Loja Física"/>
    <s v="Loja fÃ­sica"/>
    <n v="2121"/>
    <s v="Nike The Mandalorian Edition"/>
    <x v="0"/>
    <x v="1"/>
    <n v="2022"/>
    <n v="39"/>
    <s v="Red/Black"/>
    <n v="1"/>
    <n v="420.9"/>
    <s v="False"/>
    <n v="0"/>
    <n v="420.9"/>
    <n v="420.9"/>
    <s v="Pix"/>
    <s v="Pix"/>
    <x v="2"/>
    <s v="Devolvido"/>
    <n v="9"/>
    <n v="2"/>
    <n v="50.51"/>
    <n v="0"/>
    <x v="1"/>
    <m/>
  </r>
  <r>
    <n v="7620"/>
    <d v="2025-04-14T00:00:00"/>
    <n v="1100"/>
    <x v="0"/>
    <s v="Nike Shopping Vila OlÃ­mpia"/>
    <s v="Centro-Oeste"/>
    <s v="Marketplace"/>
    <s v="Marketplace"/>
    <n v="2817"/>
    <s v="Nike The Mandalorian Edition"/>
    <x v="5"/>
    <x v="2"/>
    <n v="2022"/>
    <n v="38"/>
    <s v="Red/Black"/>
    <n v="3"/>
    <n v="616.32000000000005"/>
    <s v="False"/>
    <n v="0"/>
    <n v="616.32000000000005"/>
    <n v="616.32000000000005"/>
    <s v="Credito em loja"/>
    <s v="CrÃ©dito em loja"/>
    <x v="0"/>
    <s v="Nenhuma"/>
    <n v="6"/>
    <n v="4"/>
    <n v="73.959999999999994"/>
    <n v="0"/>
    <x v="0"/>
    <m/>
  </r>
  <r>
    <n v="7621"/>
    <d v="2024-07-27T00:00:00"/>
    <n v="1054"/>
    <x v="11"/>
    <s v="Nike Shopping RioSul"/>
    <s v="Norte"/>
    <s v="Loja Física"/>
    <s v="Loja fÃ­sica"/>
    <n v="2204"/>
    <s v="Nike The Mandalorian Edition"/>
    <x v="1"/>
    <x v="2"/>
    <n v="2023"/>
    <n v="37"/>
    <s v="Black/Gold"/>
    <n v="3"/>
    <n v="304.92"/>
    <s v="False"/>
    <n v="0"/>
    <n v="304.92"/>
    <n v="304.92"/>
    <s v="Credito em loja"/>
    <s v="CrÃ©dito em loja"/>
    <x v="0"/>
    <s v="Nenhuma"/>
    <n v="12"/>
    <n v="3"/>
    <n v="36.590000000000003"/>
    <n v="0"/>
    <x v="2"/>
    <m/>
  </r>
  <r>
    <n v="7622"/>
    <d v="2025-02-17T00:00:00"/>
    <n v="1095"/>
    <x v="6"/>
    <s v="Nike Shopping JK Iguatemi"/>
    <s v="Norte"/>
    <s v="Loja Física"/>
    <s v="Loja fÃ­sica"/>
    <n v="2986"/>
    <s v="Nike Loki Edition"/>
    <x v="1"/>
    <x v="2"/>
    <n v="2024"/>
    <n v="42"/>
    <s v="Purple/Silver"/>
    <n v="5"/>
    <n v="638.19000000000005"/>
    <s v="True"/>
    <n v="63.82"/>
    <n v="574.37"/>
    <n v="574.37"/>
    <s v="Pix"/>
    <s v="Pix"/>
    <x v="2"/>
    <s v="Devolvido"/>
    <n v="10"/>
    <n v="4"/>
    <n v="76.58"/>
    <n v="31.91"/>
    <x v="0"/>
    <m/>
  </r>
  <r>
    <n v="7623"/>
    <d v="2024-07-12T00:00:00"/>
    <n v="1020"/>
    <x v="26"/>
    <s v="Nike Shopping Tijuca"/>
    <s v="Centro-Oeste"/>
    <s v="Online"/>
    <s v="Online"/>
    <n v="2972"/>
    <s v="Nike Rick and Morty Edition"/>
    <x v="0"/>
    <x v="2"/>
    <n v="2023"/>
    <n v="40"/>
    <s v="White/Blue"/>
    <n v="3"/>
    <n v="510.19"/>
    <s v="True"/>
    <n v="51.02"/>
    <n v="459.17"/>
    <n v="459.17"/>
    <s v="Cartão"/>
    <s v="CartÃ£o"/>
    <x v="2"/>
    <s v="Devolvido"/>
    <n v="1"/>
    <n v="3"/>
    <n v="61.22"/>
    <n v="25.51"/>
    <x v="2"/>
    <m/>
  </r>
  <r>
    <n v="7624"/>
    <d v="2024-07-15T00:00:00"/>
    <n v="1090"/>
    <x v="27"/>
    <s v="Nike Shopping Center Lapa"/>
    <s v="Sul"/>
    <s v="Online"/>
    <s v="Online"/>
    <n v="2979"/>
    <s v="Nike Naruto Edition"/>
    <x v="3"/>
    <x v="1"/>
    <n v="2023"/>
    <n v="40"/>
    <s v="Black/Gold"/>
    <n v="5"/>
    <n v="543.88"/>
    <s v="True"/>
    <n v="54.39"/>
    <n v="489.49"/>
    <n v="489.49"/>
    <s v="Credito em loja"/>
    <s v="CrÃ©dito em loja"/>
    <x v="2"/>
    <s v="Devolvido"/>
    <n v="7"/>
    <n v="1"/>
    <n v="65.27"/>
    <n v="27.19"/>
    <x v="1"/>
    <m/>
  </r>
  <r>
    <n v="7625"/>
    <d v="2024-11-02T00:00:00"/>
    <n v="1046"/>
    <x v="1"/>
    <s v="Nike Shopping Aricanduva"/>
    <s v="Norte"/>
    <s v="Loja Física"/>
    <s v="Loja fÃ­sica"/>
    <n v="2618"/>
    <s v="Nike Rick and Morty Edition"/>
    <x v="5"/>
    <x v="0"/>
    <n v="2023"/>
    <n v="37"/>
    <s v="Purple/Silver"/>
    <n v="3"/>
    <n v="627.55999999999995"/>
    <s v="False"/>
    <n v="0"/>
    <n v="627.55999999999995"/>
    <n v="627.55999999999995"/>
    <s v="Credito em loja"/>
    <s v="CrÃ©dito em loja"/>
    <x v="2"/>
    <s v="Devolvido"/>
    <n v="12"/>
    <n v="2"/>
    <n v="75.31"/>
    <n v="0"/>
    <x v="0"/>
    <m/>
  </r>
  <r>
    <n v="7626"/>
    <d v="2025-05-11T00:00:00"/>
    <n v="1004"/>
    <x v="24"/>
    <s v="Nike Shopping Salvador Norte"/>
    <s v="Sul"/>
    <s v="Marketplace"/>
    <s v="Marketplace"/>
    <n v="2965"/>
    <s v="Nike The Mandalorian Edition"/>
    <x v="3"/>
    <x v="2"/>
    <n v="2024"/>
    <n v="38"/>
    <s v="Purple/Silver"/>
    <n v="3"/>
    <n v="469.94"/>
    <s v="False"/>
    <n v="0"/>
    <n v="469.94"/>
    <n v="469.94"/>
    <s v="Cartão"/>
    <s v="CartÃ£o"/>
    <x v="2"/>
    <s v="Devolvido"/>
    <n v="3"/>
    <n v="2"/>
    <n v="56.39"/>
    <n v="0"/>
    <x v="1"/>
    <m/>
  </r>
  <r>
    <n v="7627"/>
    <d v="2024-10-08T00:00:00"/>
    <n v="1019"/>
    <x v="19"/>
    <s v="Nike Shopping Barra"/>
    <s v="Sudeste"/>
    <s v="Loja Física"/>
    <s v="Loja fÃ­sica"/>
    <n v="2781"/>
    <s v="Nike Stranger Things Edition"/>
    <x v="5"/>
    <x v="0"/>
    <n v="2024"/>
    <n v="42"/>
    <s v="White/Blue"/>
    <n v="3"/>
    <n v="639.25"/>
    <s v="True"/>
    <n v="63.93"/>
    <n v="575.32000000000005"/>
    <n v="575.32000000000005"/>
    <s v="Credito em loja"/>
    <s v="CrÃ©dito em loja"/>
    <x v="2"/>
    <s v="Devolvido"/>
    <n v="3"/>
    <n v="4"/>
    <n v="76.709999999999994"/>
    <n v="31.96"/>
    <x v="1"/>
    <m/>
  </r>
  <r>
    <n v="7628"/>
    <d v="2024-12-09T00:00:00"/>
    <n v="1095"/>
    <x v="2"/>
    <s v="Nike Shopping PÃ¡tio Paulista"/>
    <s v="Sudeste"/>
    <s v="Loja Física"/>
    <s v="Loja fÃ­sica"/>
    <n v="2174"/>
    <s v="Nike One Piece Edition"/>
    <x v="4"/>
    <x v="2"/>
    <n v="2024"/>
    <n v="39"/>
    <s v="Red/Black"/>
    <n v="5"/>
    <n v="594.5"/>
    <s v="True"/>
    <n v="59.45"/>
    <n v="535.04999999999995"/>
    <n v="535.04999999999995"/>
    <s v="Pix"/>
    <s v="Pix"/>
    <x v="1"/>
    <s v="Em anÃ¡lise"/>
    <n v="4"/>
    <n v="4"/>
    <n v="71.34"/>
    <n v="29.73"/>
    <x v="0"/>
    <m/>
  </r>
  <r>
    <n v="7629"/>
    <d v="2024-06-23T00:00:00"/>
    <n v="1071"/>
    <x v="10"/>
    <s v="Nike Plaza Shopping NiterÃ³i"/>
    <s v="Norte"/>
    <s v="Loja Física"/>
    <s v="Loja fÃ­sica"/>
    <n v="2316"/>
    <s v="Nike One Piece Edition"/>
    <x v="3"/>
    <x v="2"/>
    <n v="2023"/>
    <n v="37"/>
    <s v="White/Blue"/>
    <n v="5"/>
    <n v="716.7"/>
    <s v="False"/>
    <n v="0"/>
    <n v="716.7"/>
    <n v="716.7"/>
    <s v="Cartão"/>
    <s v="CartÃ£o"/>
    <x v="0"/>
    <s v="Nenhuma"/>
    <n v="4"/>
    <n v="4"/>
    <n v="86"/>
    <n v="0"/>
    <x v="2"/>
    <m/>
  </r>
  <r>
    <n v="7630"/>
    <d v="2024-09-05T00:00:00"/>
    <n v="1026"/>
    <x v="14"/>
    <s v="Nike Shopping Leblon"/>
    <s v="Norte"/>
    <s v="Online"/>
    <s v="Online"/>
    <n v="2268"/>
    <s v="Nike The Mandalorian Edition"/>
    <x v="0"/>
    <x v="1"/>
    <n v="2024"/>
    <n v="39"/>
    <s v="Black/Gold"/>
    <n v="4"/>
    <n v="452.83"/>
    <s v="False"/>
    <n v="0"/>
    <n v="452.83"/>
    <n v="452.83"/>
    <s v="Boleto"/>
    <s v="Boleto"/>
    <x v="0"/>
    <s v="Nenhuma"/>
    <n v="12"/>
    <n v="4"/>
    <n v="54.34"/>
    <n v="0"/>
    <x v="2"/>
    <m/>
  </r>
  <r>
    <n v="7631"/>
    <d v="2025-04-29T00:00:00"/>
    <n v="1068"/>
    <x v="13"/>
    <s v="Nike AmÃ©ricas Shopping"/>
    <s v="Norte"/>
    <s v="Online"/>
    <s v="Online"/>
    <n v="2450"/>
    <s v="Nike Rick and Morty Edition"/>
    <x v="3"/>
    <x v="2"/>
    <n v="2022"/>
    <n v="39"/>
    <s v="Red/Black"/>
    <n v="2"/>
    <n v="758.43"/>
    <s v="True"/>
    <n v="75.84"/>
    <n v="6825899999999990"/>
    <n v="682.58999999999992"/>
    <s v="Pix"/>
    <s v="Pix"/>
    <x v="1"/>
    <s v="Em anÃ¡lise"/>
    <n v="9"/>
    <n v="4"/>
    <n v="91.01"/>
    <n v="37.92"/>
    <x v="2"/>
    <m/>
  </r>
  <r>
    <n v="7632"/>
    <d v="2025-04-04T00:00:00"/>
    <n v="1043"/>
    <x v="26"/>
    <s v="Nike Shopping Tijuca"/>
    <s v="Centro-Oeste"/>
    <s v="Online"/>
    <s v="Online"/>
    <n v="2118"/>
    <s v="Nike The Mandalorian Edition"/>
    <x v="7"/>
    <x v="0"/>
    <n v="2022"/>
    <n v="38"/>
    <s v="Green/Yellow"/>
    <n v="1"/>
    <n v="347.17"/>
    <s v="False"/>
    <n v="0"/>
    <n v="347.17"/>
    <n v="347.17"/>
    <s v="Cartão"/>
    <s v="CartÃ£o"/>
    <x v="0"/>
    <s v="Nenhuma"/>
    <n v="1"/>
    <n v="5"/>
    <n v="41.66"/>
    <n v="0"/>
    <x v="2"/>
    <m/>
  </r>
  <r>
    <n v="7633"/>
    <d v="2025-01-10T00:00:00"/>
    <n v="1045"/>
    <x v="4"/>
    <s v="Nike Shopping Morumbi"/>
    <s v="Norte"/>
    <s v="Loja Física"/>
    <s v="Loja fÃ­sica"/>
    <n v="2171"/>
    <s v="Nike One Piece Edition"/>
    <x v="7"/>
    <x v="1"/>
    <n v="2022"/>
    <n v="38"/>
    <s v="Purple/Silver"/>
    <n v="2"/>
    <n v="535.87"/>
    <s v="True"/>
    <n v="53.59"/>
    <n v="482.28"/>
    <n v="482.28"/>
    <s v="Pix"/>
    <s v="Pix"/>
    <x v="1"/>
    <s v="Em anÃ¡lise"/>
    <n v="6"/>
    <n v="1"/>
    <n v="64.3"/>
    <n v="26.79"/>
    <x v="0"/>
    <m/>
  </r>
  <r>
    <n v="7634"/>
    <d v="2024-06-19T00:00:00"/>
    <n v="1100"/>
    <x v="4"/>
    <s v="Nike Shopping Morumbi"/>
    <s v="Sul"/>
    <s v="Marketplace"/>
    <s v="Marketplace"/>
    <n v="2288"/>
    <s v="Nike Harry Potter Edition"/>
    <x v="3"/>
    <x v="2"/>
    <n v="2022"/>
    <n v="42"/>
    <s v="Green/Yellow"/>
    <n v="4"/>
    <n v="633.72"/>
    <s v="True"/>
    <n v="63.37"/>
    <n v="570.35"/>
    <n v="570.35"/>
    <s v="Credito em loja"/>
    <s v="CrÃ©dito em loja"/>
    <x v="2"/>
    <s v="Devolvido"/>
    <n v="7"/>
    <n v="5"/>
    <n v="76.05"/>
    <n v="31.69"/>
    <x v="0"/>
    <m/>
  </r>
  <r>
    <n v="7635"/>
    <d v="2024-10-27T00:00:00"/>
    <n v="1036"/>
    <x v="2"/>
    <s v="Nike Shopping PÃ¡tio Paulista"/>
    <s v="Nordeste"/>
    <s v="Loja Física"/>
    <s v="Loja fÃ­sica"/>
    <n v="2148"/>
    <s v="Nike Rick and Morty Edition"/>
    <x v="7"/>
    <x v="1"/>
    <n v="2022"/>
    <n v="40"/>
    <s v="Black/Gold"/>
    <n v="4"/>
    <n v="783.85"/>
    <s v="True"/>
    <n v="78.39"/>
    <n v="705.46"/>
    <n v="705.46"/>
    <s v="Pix"/>
    <s v="Pix"/>
    <x v="2"/>
    <s v="Devolvido"/>
    <n v="3"/>
    <n v="5"/>
    <n v="94.06"/>
    <n v="39.19"/>
    <x v="0"/>
    <m/>
  </r>
  <r>
    <n v="7636"/>
    <d v="2025-05-16T00:00:00"/>
    <n v="1060"/>
    <x v="10"/>
    <s v="Nike Plaza Shopping NiterÃ³i"/>
    <s v="Nordeste"/>
    <s v="Loja Física"/>
    <s v="Loja fÃ­sica"/>
    <n v="2681"/>
    <s v="Nike Stranger Things Edition"/>
    <x v="1"/>
    <x v="0"/>
    <n v="2023"/>
    <n v="37"/>
    <s v="Green/Yellow"/>
    <n v="3"/>
    <n v="552.65"/>
    <s v="False"/>
    <n v="0"/>
    <n v="552.65"/>
    <n v="552.65"/>
    <s v="Pix"/>
    <s v="Pix"/>
    <x v="0"/>
    <s v="Nenhuma"/>
    <n v="2"/>
    <n v="3"/>
    <n v="66.319999999999993"/>
    <n v="0"/>
    <x v="2"/>
    <m/>
  </r>
  <r>
    <n v="7637"/>
    <d v="2024-12-15T00:00:00"/>
    <n v="1090"/>
    <x v="9"/>
    <s v="Nike Shopping Cidade SÃ£o Paulo"/>
    <s v="Norte"/>
    <s v="Loja Física"/>
    <s v="Loja fÃ­sica"/>
    <n v="2196"/>
    <s v="Nike Rick and Morty Edition"/>
    <x v="3"/>
    <x v="1"/>
    <n v="2024"/>
    <n v="41"/>
    <s v="White/Blue"/>
    <n v="4"/>
    <n v="611.05999999999995"/>
    <s v="False"/>
    <n v="0"/>
    <n v="611.05999999999995"/>
    <n v="611.05999999999995"/>
    <s v="Credito em loja"/>
    <s v="CrÃ©dito em loja"/>
    <x v="1"/>
    <s v="Em anÃ¡lise"/>
    <n v="12"/>
    <n v="4"/>
    <n v="73.33"/>
    <n v="0"/>
    <x v="0"/>
    <m/>
  </r>
  <r>
    <n v="7638"/>
    <d v="2024-10-24T00:00:00"/>
    <n v="1055"/>
    <x v="24"/>
    <s v="Nike Shopping Salvador Norte"/>
    <s v="Sudeste"/>
    <s v="Online"/>
    <s v="Online"/>
    <n v="2110"/>
    <s v="Nike Rick and Morty Edition"/>
    <x v="5"/>
    <x v="2"/>
    <n v="2023"/>
    <n v="41"/>
    <s v="Purple/Silver"/>
    <n v="2"/>
    <n v="698.86"/>
    <s v="True"/>
    <n v="69.89"/>
    <n v="628.97"/>
    <n v="628.97"/>
    <s v="Cartão"/>
    <s v="CartÃ£o"/>
    <x v="0"/>
    <s v="Nenhuma"/>
    <n v="9"/>
    <n v="4"/>
    <n v="83.86"/>
    <n v="34.94"/>
    <x v="1"/>
    <m/>
  </r>
  <r>
    <n v="7639"/>
    <d v="2025-02-03T00:00:00"/>
    <n v="1082"/>
    <x v="8"/>
    <s v="Nike Shopping Paralela"/>
    <s v="Norte"/>
    <s v="Online"/>
    <s v="Online"/>
    <n v="2192"/>
    <s v="Nike Rick and Morty Edition"/>
    <x v="5"/>
    <x v="1"/>
    <n v="2022"/>
    <n v="37"/>
    <s v="Purple/Silver"/>
    <n v="5"/>
    <n v="614.67999999999995"/>
    <s v="False"/>
    <n v="0"/>
    <n v="614.67999999999995"/>
    <n v="614.67999999999995"/>
    <s v="Pix"/>
    <s v="Pix"/>
    <x v="1"/>
    <s v="Em anÃ¡lise"/>
    <n v="1"/>
    <n v="2"/>
    <n v="73.760000000000005"/>
    <n v="0"/>
    <x v="1"/>
    <m/>
  </r>
  <r>
    <n v="7640"/>
    <d v="2024-10-20T00:00:00"/>
    <n v="1031"/>
    <x v="12"/>
    <s v="Nike Shopping Itaigara"/>
    <s v="Sudeste"/>
    <s v="Online"/>
    <s v="Online"/>
    <n v="2378"/>
    <s v="Nike The Mandalorian Edition"/>
    <x v="6"/>
    <x v="2"/>
    <n v="2024"/>
    <n v="41"/>
    <s v="Red/Black"/>
    <n v="3"/>
    <n v="569.77"/>
    <s v="False"/>
    <n v="0"/>
    <n v="569.77"/>
    <n v="569.77"/>
    <s v="Boleto"/>
    <s v="Boleto"/>
    <x v="1"/>
    <s v="Em anÃ¡lise"/>
    <n v="13"/>
    <n v="4"/>
    <n v="68.37"/>
    <n v="0"/>
    <x v="1"/>
    <m/>
  </r>
  <r>
    <n v="7641"/>
    <d v="2024-06-13T00:00:00"/>
    <n v="1024"/>
    <x v="4"/>
    <s v="Nike Shopping Morumbi"/>
    <s v="Centro-Oeste"/>
    <s v="Loja Física"/>
    <s v="Loja fÃ­sica"/>
    <n v="2088"/>
    <s v="Nike The Mandalorian Edition"/>
    <x v="2"/>
    <x v="1"/>
    <n v="2023"/>
    <n v="41"/>
    <s v="Red/Black"/>
    <n v="3"/>
    <n v="363.11"/>
    <s v="True"/>
    <n v="36.31"/>
    <n v="326.8"/>
    <n v="326.8"/>
    <s v="Cartão"/>
    <s v="CartÃ£o"/>
    <x v="1"/>
    <s v="Em anÃ¡lise"/>
    <n v="13"/>
    <n v="5"/>
    <n v="43.57"/>
    <n v="18.16"/>
    <x v="0"/>
    <m/>
  </r>
  <r>
    <n v="7642"/>
    <d v="2024-08-11T00:00:00"/>
    <n v="1002"/>
    <x v="4"/>
    <s v="Nike Shopping Morumbi"/>
    <s v="Sudeste"/>
    <s v="Marketplace"/>
    <s v="Marketplace"/>
    <n v="2609"/>
    <s v="Nike Loki Edition"/>
    <x v="0"/>
    <x v="2"/>
    <n v="2022"/>
    <n v="41"/>
    <s v="Green/Yellow"/>
    <n v="5"/>
    <n v="484.03"/>
    <s v="False"/>
    <n v="0"/>
    <n v="484.03"/>
    <n v="484.03"/>
    <s v="Cartão"/>
    <s v="CartÃ£o"/>
    <x v="0"/>
    <s v="Nenhuma"/>
    <n v="7"/>
    <n v="2"/>
    <n v="58.08"/>
    <n v="0"/>
    <x v="0"/>
    <m/>
  </r>
  <r>
    <n v="7643"/>
    <d v="2024-12-20T00:00:00"/>
    <n v="1084"/>
    <x v="13"/>
    <s v="Nike AmÃ©ricas Shopping"/>
    <s v="Norte"/>
    <s v="Online"/>
    <s v="Online"/>
    <n v="2586"/>
    <s v="Nike Naruto Edition"/>
    <x v="6"/>
    <x v="1"/>
    <n v="2023"/>
    <n v="39"/>
    <s v="Purple/Silver"/>
    <n v="4"/>
    <n v="626.22"/>
    <s v="False"/>
    <n v="0"/>
    <n v="626.22"/>
    <n v="626.22"/>
    <s v="Credito em loja"/>
    <s v="CrÃ©dito em loja"/>
    <x v="1"/>
    <s v="Em anÃ¡lise"/>
    <n v="2"/>
    <n v="5"/>
    <n v="75.150000000000006"/>
    <n v="0"/>
    <x v="2"/>
    <m/>
  </r>
  <r>
    <n v="7644"/>
    <d v="2024-07-02T00:00:00"/>
    <n v="1002"/>
    <x v="4"/>
    <s v="Nike Shopping Morumbi"/>
    <s v="Norte"/>
    <s v="Loja Física"/>
    <s v="Loja fÃ­sica"/>
    <n v="2118"/>
    <s v="Nike Rick and Morty Edition"/>
    <x v="1"/>
    <x v="1"/>
    <n v="2022"/>
    <n v="41"/>
    <s v="White/Blue"/>
    <n v="5"/>
    <n v="461.86"/>
    <s v="False"/>
    <n v="0"/>
    <n v="461.86"/>
    <n v="461.86"/>
    <s v="Pix"/>
    <s v="Pix"/>
    <x v="2"/>
    <s v="Devolvido"/>
    <n v="8"/>
    <n v="4"/>
    <n v="55.42"/>
    <n v="0"/>
    <x v="0"/>
    <m/>
  </r>
  <r>
    <n v="7645"/>
    <d v="2024-08-08T00:00:00"/>
    <n v="1000"/>
    <x v="4"/>
    <s v="Nike Shopping Morumbi"/>
    <s v="Centro-Oeste"/>
    <s v="Marketplace"/>
    <s v="Marketplace"/>
    <n v="2582"/>
    <s v="Nike Loki Edition"/>
    <x v="3"/>
    <x v="0"/>
    <n v="2023"/>
    <n v="38"/>
    <s v="Purple/Silver"/>
    <n v="3"/>
    <n v="766.68"/>
    <s v="False"/>
    <n v="0"/>
    <n v="766.68"/>
    <n v="766.68"/>
    <s v="Pix"/>
    <s v="Pix"/>
    <x v="1"/>
    <s v="Em anÃ¡lise"/>
    <n v="10"/>
    <n v="4"/>
    <n v="92"/>
    <n v="0"/>
    <x v="0"/>
    <m/>
  </r>
  <r>
    <n v="7646"/>
    <d v="2024-06-29T00:00:00"/>
    <n v="1038"/>
    <x v="15"/>
    <s v="Nike Boulevard Shopping"/>
    <s v="Centro-Oeste"/>
    <s v="Online"/>
    <s v="Online"/>
    <n v="2508"/>
    <s v="Nike One Piece Edition"/>
    <x v="5"/>
    <x v="1"/>
    <n v="2022"/>
    <n v="42"/>
    <s v="White/Blue"/>
    <n v="3"/>
    <n v="601.30999999999995"/>
    <s v="False"/>
    <n v="0"/>
    <n v="601.30999999999995"/>
    <n v="601.30999999999995"/>
    <s v="Cartão"/>
    <s v="CartÃ£o"/>
    <x v="0"/>
    <s v="Nenhuma"/>
    <n v="11"/>
    <n v="5"/>
    <n v="72.16"/>
    <n v="0"/>
    <x v="1"/>
    <m/>
  </r>
  <r>
    <n v="7647"/>
    <d v="2024-07-19T00:00:00"/>
    <n v="1057"/>
    <x v="0"/>
    <s v="Nike Shopping Vila OlÃ­mpia"/>
    <s v="Sudeste"/>
    <s v="Loja Física"/>
    <s v="Loja fÃ­sica"/>
    <n v="2877"/>
    <s v="Nike Harry Potter Edition"/>
    <x v="4"/>
    <x v="0"/>
    <n v="2022"/>
    <n v="38"/>
    <s v="White/Blue"/>
    <n v="1"/>
    <n v="711.85"/>
    <s v="True"/>
    <n v="71.19"/>
    <n v="6406600000000000"/>
    <n v="640.66000000000008"/>
    <s v="Cartão"/>
    <s v="CartÃ£o"/>
    <x v="1"/>
    <s v="Em anÃ¡lise"/>
    <n v="3"/>
    <n v="4"/>
    <n v="85.42"/>
    <n v="35.590000000000003"/>
    <x v="0"/>
    <m/>
  </r>
  <r>
    <n v="7648"/>
    <d v="2025-04-24T00:00:00"/>
    <n v="1019"/>
    <x v="9"/>
    <s v="Nike Shopping Cidade SÃ£o Paulo"/>
    <s v="Norte"/>
    <s v="Loja Física"/>
    <s v="Loja fÃ­sica"/>
    <n v="2510"/>
    <s v="Nike Dragon Ball Edition"/>
    <x v="3"/>
    <x v="2"/>
    <n v="2022"/>
    <n v="38"/>
    <s v="White/Blue"/>
    <n v="1"/>
    <n v="524.19000000000005"/>
    <s v="False"/>
    <n v="0"/>
    <n v="524.19000000000005"/>
    <n v="524.19000000000005"/>
    <s v="Credito em loja"/>
    <s v="CrÃ©dito em loja"/>
    <x v="0"/>
    <s v="Nenhuma"/>
    <n v="1"/>
    <n v="2"/>
    <n v="62.9"/>
    <n v="0"/>
    <x v="0"/>
    <m/>
  </r>
  <r>
    <n v="7649"/>
    <d v="2024-12-12T00:00:00"/>
    <n v="1064"/>
    <x v="24"/>
    <s v="Nike Shopping Salvador Norte"/>
    <s v="Nordeste"/>
    <s v="Loja Física"/>
    <s v="Loja fÃ­sica"/>
    <n v="2978"/>
    <s v="Nike Rick and Morty Edition"/>
    <x v="0"/>
    <x v="0"/>
    <n v="2022"/>
    <n v="41"/>
    <s v="Green/Yellow"/>
    <n v="1"/>
    <n v="538.26"/>
    <s v="False"/>
    <n v="0"/>
    <n v="538.26"/>
    <n v="538.26"/>
    <s v="Boleto"/>
    <s v="Boleto"/>
    <x v="1"/>
    <s v="Em anÃ¡lise"/>
    <n v="4"/>
    <n v="2"/>
    <n v="64.59"/>
    <n v="0"/>
    <x v="1"/>
    <m/>
  </r>
  <r>
    <n v="7650"/>
    <d v="2025-01-31T00:00:00"/>
    <n v="1000"/>
    <x v="20"/>
    <s v="Nike Shopping da Bahia"/>
    <s v="Nordeste"/>
    <s v="Loja Física"/>
    <s v="Loja fÃ­sica"/>
    <n v="2908"/>
    <s v="Nike The Mandalorian Edition"/>
    <x v="1"/>
    <x v="0"/>
    <n v="2023"/>
    <n v="40"/>
    <s v="White/Blue"/>
    <n v="4"/>
    <n v="747.34"/>
    <s v="False"/>
    <n v="0"/>
    <n v="747.34"/>
    <n v="747.34"/>
    <s v="Boleto"/>
    <s v="Boleto"/>
    <x v="2"/>
    <s v="Devolvido"/>
    <n v="11"/>
    <n v="4"/>
    <n v="89.68"/>
    <n v="0"/>
    <x v="1"/>
    <m/>
  </r>
  <r>
    <n v="7651"/>
    <d v="2025-04-22T00:00:00"/>
    <n v="1036"/>
    <x v="29"/>
    <s v="Nike Shopping Downtown"/>
    <s v="Sudeste"/>
    <s v="Online"/>
    <s v="Online"/>
    <n v="2000"/>
    <s v="Nike Naruto Edition"/>
    <x v="3"/>
    <x v="2"/>
    <n v="2023"/>
    <n v="39"/>
    <s v="Purple/Silver"/>
    <n v="1"/>
    <n v="322.75"/>
    <s v="False"/>
    <n v="0"/>
    <n v="322.75"/>
    <n v="322.75"/>
    <s v="Credito em loja"/>
    <s v="CrÃ©dito em loja"/>
    <x v="2"/>
    <s v="Devolvido"/>
    <n v="9"/>
    <n v="4"/>
    <n v="38.729999999999997"/>
    <n v="0"/>
    <x v="2"/>
    <m/>
  </r>
  <r>
    <n v="7652"/>
    <d v="2024-12-07T00:00:00"/>
    <n v="1080"/>
    <x v="23"/>
    <s v="Nike Shopping Eldorado"/>
    <s v="Sul"/>
    <s v="Marketplace"/>
    <s v="Marketplace"/>
    <n v="2721"/>
    <s v="Nike The Mandalorian Edition"/>
    <x v="4"/>
    <x v="0"/>
    <n v="2022"/>
    <n v="39"/>
    <s v="Green/Yellow"/>
    <n v="2"/>
    <n v="571.61"/>
    <s v="True"/>
    <n v="57.16"/>
    <n v="514.45000000000005"/>
    <n v="514.45000000000005"/>
    <s v="Cartão"/>
    <s v="CartÃ£o"/>
    <x v="1"/>
    <s v="Em anÃ¡lise"/>
    <n v="2"/>
    <n v="3"/>
    <n v="68.59"/>
    <n v="28.58"/>
    <x v="0"/>
    <m/>
  </r>
  <r>
    <n v="7653"/>
    <d v="2025-04-27T00:00:00"/>
    <n v="1020"/>
    <x v="1"/>
    <s v="Nike Shopping Aricanduva"/>
    <s v="Centro-Oeste"/>
    <s v="Online"/>
    <s v="Online"/>
    <n v="2250"/>
    <s v="Nike Harry Potter Edition"/>
    <x v="1"/>
    <x v="0"/>
    <n v="2023"/>
    <n v="42"/>
    <s v="White/Blue"/>
    <n v="1"/>
    <n v="660.01"/>
    <s v="True"/>
    <n v="66"/>
    <n v="594.01"/>
    <n v="594.01"/>
    <s v="Cartão"/>
    <s v="CartÃ£o"/>
    <x v="0"/>
    <s v="Nenhuma"/>
    <n v="15"/>
    <n v="5"/>
    <n v="79.2"/>
    <n v="33"/>
    <x v="0"/>
    <m/>
  </r>
  <r>
    <n v="7654"/>
    <d v="2025-01-24T00:00:00"/>
    <n v="1059"/>
    <x v="0"/>
    <s v="Nike Shopping Vila OlÃ­mpia"/>
    <s v="Sudeste"/>
    <s v="Marketplace"/>
    <s v="Marketplace"/>
    <n v="2165"/>
    <s v="Nike One Piece Edition"/>
    <x v="1"/>
    <x v="2"/>
    <n v="2023"/>
    <n v="41"/>
    <s v="Red/Black"/>
    <n v="3"/>
    <n v="332.22"/>
    <s v="True"/>
    <n v="33.22"/>
    <n v="299"/>
    <n v="299"/>
    <s v="Credito em loja"/>
    <s v="CrÃ©dito em loja"/>
    <x v="2"/>
    <s v="Devolvido"/>
    <n v="8"/>
    <n v="1"/>
    <n v="39.869999999999997"/>
    <n v="16.61"/>
    <x v="0"/>
    <m/>
  </r>
  <r>
    <n v="7655"/>
    <d v="2025-03-11T00:00:00"/>
    <n v="1073"/>
    <x v="16"/>
    <s v="Nike Salvador Shopping"/>
    <s v="Nordeste"/>
    <s v="Marketplace"/>
    <s v="Marketplace"/>
    <n v="2566"/>
    <s v="Nike Rick and Morty Edition"/>
    <x v="7"/>
    <x v="0"/>
    <n v="2024"/>
    <n v="41"/>
    <s v="White/Blue"/>
    <n v="4"/>
    <n v="762.66"/>
    <s v="True"/>
    <n v="76.27"/>
    <n v="686.39"/>
    <n v="686.39"/>
    <s v="Boleto"/>
    <s v="Boleto"/>
    <x v="1"/>
    <s v="Em anÃ¡lise"/>
    <n v="14"/>
    <n v="2"/>
    <n v="91.52"/>
    <n v="38.130000000000003"/>
    <x v="1"/>
    <m/>
  </r>
  <r>
    <n v="7656"/>
    <d v="2024-07-05T00:00:00"/>
    <n v="1049"/>
    <x v="0"/>
    <s v="Nike Shopping Vila OlÃ­mpia"/>
    <s v="Sul"/>
    <s v="Loja Física"/>
    <s v="Loja fÃ­sica"/>
    <n v="2956"/>
    <s v="Nike Dragon Ball Edition"/>
    <x v="4"/>
    <x v="0"/>
    <n v="2024"/>
    <n v="42"/>
    <s v="White/Blue"/>
    <n v="2"/>
    <n v="673.26"/>
    <s v="True"/>
    <n v="67.33"/>
    <n v="605.92999999999995"/>
    <n v="605.92999999999995"/>
    <s v="Credito em loja"/>
    <s v="CrÃ©dito em loja"/>
    <x v="2"/>
    <s v="Devolvido"/>
    <n v="8"/>
    <n v="1"/>
    <n v="80.790000000000006"/>
    <n v="33.659999999999997"/>
    <x v="0"/>
    <m/>
  </r>
  <r>
    <n v="7657"/>
    <d v="2024-06-24T00:00:00"/>
    <n v="1002"/>
    <x v="17"/>
    <s v="Nike Shopping Bela Vista"/>
    <s v="Sudeste"/>
    <s v="Online"/>
    <s v="Online"/>
    <n v="2436"/>
    <s v="Nike Stranger Things Edition"/>
    <x v="5"/>
    <x v="0"/>
    <n v="2024"/>
    <n v="37"/>
    <s v="White/Blue"/>
    <n v="4"/>
    <n v="627.54999999999995"/>
    <s v="True"/>
    <n v="62.75"/>
    <n v="564.79999999999995"/>
    <n v="564.79999999999995"/>
    <s v="Pix"/>
    <s v="Pix"/>
    <x v="0"/>
    <s v="Nenhuma"/>
    <n v="11"/>
    <n v="2"/>
    <n v="75.31"/>
    <n v="31.38"/>
    <x v="1"/>
    <m/>
  </r>
  <r>
    <n v="7658"/>
    <d v="2024-07-06T00:00:00"/>
    <n v="1009"/>
    <x v="0"/>
    <s v="Nike Shopping Vila OlÃ­mpia"/>
    <s v="Centro-Oeste"/>
    <s v="Online"/>
    <s v="Online"/>
    <n v="2346"/>
    <s v="Nike Loki Edition"/>
    <x v="1"/>
    <x v="0"/>
    <n v="2023"/>
    <n v="42"/>
    <s v="Black/Gold"/>
    <n v="4"/>
    <n v="783.88"/>
    <s v="True"/>
    <n v="78.39"/>
    <n v="705.49"/>
    <n v="705.49"/>
    <s v="Boleto"/>
    <s v="Boleto"/>
    <x v="2"/>
    <s v="Devolvido"/>
    <n v="8"/>
    <n v="4"/>
    <n v="94.07"/>
    <n v="39.19"/>
    <x v="0"/>
    <m/>
  </r>
  <r>
    <n v="7659"/>
    <d v="2024-07-20T00:00:00"/>
    <n v="1000"/>
    <x v="5"/>
    <s v="Nike Shopping Iguatemi"/>
    <s v="Nordeste"/>
    <s v="Marketplace"/>
    <s v="Marketplace"/>
    <n v="2869"/>
    <s v="Nike One Piece Edition"/>
    <x v="2"/>
    <x v="2"/>
    <n v="2022"/>
    <n v="37"/>
    <s v="Red/Black"/>
    <n v="3"/>
    <n v="789.65"/>
    <s v="False"/>
    <n v="0"/>
    <n v="789.65"/>
    <n v="789.65"/>
    <s v="Boleto"/>
    <s v="Boleto"/>
    <x v="1"/>
    <s v="Em anÃ¡lise"/>
    <n v="2"/>
    <n v="3"/>
    <n v="94.76"/>
    <n v="0"/>
    <x v="0"/>
    <m/>
  </r>
  <r>
    <n v="7660"/>
    <d v="2025-05-08T00:00:00"/>
    <n v="1092"/>
    <x v="22"/>
    <s v="Nike Shopping Paseo"/>
    <s v="Norte"/>
    <s v="Marketplace"/>
    <s v="Marketplace"/>
    <n v="2798"/>
    <s v="Nike Naruto Edition"/>
    <x v="3"/>
    <x v="1"/>
    <n v="2022"/>
    <n v="37"/>
    <s v="Red/Black"/>
    <n v="3"/>
    <n v="596.14"/>
    <s v="False"/>
    <n v="0"/>
    <n v="596.14"/>
    <n v="596.14"/>
    <s v="Cartão"/>
    <s v="CartÃ£o"/>
    <x v="1"/>
    <s v="Em anÃ¡lise"/>
    <n v="15"/>
    <n v="4"/>
    <n v="71.540000000000006"/>
    <n v="0"/>
    <x v="1"/>
    <m/>
  </r>
  <r>
    <n v="7661"/>
    <d v="2024-08-15T00:00:00"/>
    <n v="1029"/>
    <x v="8"/>
    <s v="Nike Shopping Paralela"/>
    <s v="Sul"/>
    <s v="Marketplace"/>
    <s v="Marketplace"/>
    <n v="2395"/>
    <s v="Nike Loki Edition"/>
    <x v="0"/>
    <x v="0"/>
    <n v="2023"/>
    <n v="40"/>
    <s v="Purple/Silver"/>
    <n v="1"/>
    <n v="796.49"/>
    <s v="True"/>
    <n v="79.650000000000006"/>
    <n v="716.84"/>
    <n v="716.84"/>
    <s v="Credito em loja"/>
    <s v="CrÃ©dito em loja"/>
    <x v="2"/>
    <s v="Devolvido"/>
    <n v="12"/>
    <n v="4"/>
    <n v="95.58"/>
    <n v="39.82"/>
    <x v="1"/>
    <m/>
  </r>
  <r>
    <n v="7662"/>
    <d v="2025-03-19T00:00:00"/>
    <n v="1017"/>
    <x v="3"/>
    <s v="Nike Shopping AnÃ¡lia Franco"/>
    <s v="Centro-Oeste"/>
    <s v="Marketplace"/>
    <s v="Marketplace"/>
    <n v="2601"/>
    <s v="Nike Rick and Morty Edition"/>
    <x v="0"/>
    <x v="2"/>
    <n v="2023"/>
    <n v="37"/>
    <s v="White/Blue"/>
    <n v="3"/>
    <n v="689.45"/>
    <s v="False"/>
    <n v="0"/>
    <n v="689.45"/>
    <n v="689.45"/>
    <s v="Credito em loja"/>
    <s v="CrÃ©dito em loja"/>
    <x v="1"/>
    <s v="Em anÃ¡lise"/>
    <n v="1"/>
    <n v="4"/>
    <n v="82.73"/>
    <n v="0"/>
    <x v="0"/>
    <m/>
  </r>
  <r>
    <n v="7663"/>
    <d v="2025-03-13T00:00:00"/>
    <n v="1067"/>
    <x v="28"/>
    <s v="Nike Shopping Nova AmÃ©rica"/>
    <s v="Nordeste"/>
    <s v="Loja Física"/>
    <s v="Loja fÃ­sica"/>
    <n v="2381"/>
    <s v="Nike Harry Potter Edition"/>
    <x v="1"/>
    <x v="0"/>
    <n v="2023"/>
    <n v="39"/>
    <s v="Green/Yellow"/>
    <n v="3"/>
    <n v="384.05"/>
    <s v="False"/>
    <n v="0"/>
    <n v="384.05"/>
    <n v="384.05"/>
    <s v="Credito em loja"/>
    <s v="CrÃ©dito em loja"/>
    <x v="0"/>
    <s v="Nenhuma"/>
    <n v="4"/>
    <n v="3"/>
    <n v="46.09"/>
    <n v="0"/>
    <x v="2"/>
    <m/>
  </r>
  <r>
    <n v="7664"/>
    <d v="2025-02-10T00:00:00"/>
    <n v="1013"/>
    <x v="5"/>
    <s v="Nike Shopping Iguatemi"/>
    <s v="Centro-Oeste"/>
    <s v="Loja Física"/>
    <s v="Loja fÃ­sica"/>
    <n v="2158"/>
    <s v="Nike Loki Edition"/>
    <x v="5"/>
    <x v="2"/>
    <n v="2022"/>
    <n v="37"/>
    <s v="Red/Black"/>
    <n v="1"/>
    <n v="510.11"/>
    <s v="True"/>
    <n v="51.01"/>
    <n v="459.1"/>
    <n v="459.1"/>
    <s v="Cartão"/>
    <s v="CartÃ£o"/>
    <x v="0"/>
    <s v="Nenhuma"/>
    <n v="6"/>
    <n v="5"/>
    <n v="61.21"/>
    <n v="25.51"/>
    <x v="0"/>
    <m/>
  </r>
  <r>
    <n v="7665"/>
    <d v="2025-01-22T00:00:00"/>
    <n v="1047"/>
    <x v="16"/>
    <s v="Nike Salvador Shopping"/>
    <s v="Nordeste"/>
    <s v="Marketplace"/>
    <s v="Marketplace"/>
    <n v="2339"/>
    <s v="Nike Stranger Things Edition"/>
    <x v="3"/>
    <x v="2"/>
    <n v="2022"/>
    <n v="38"/>
    <s v="White/Blue"/>
    <n v="2"/>
    <n v="778.61"/>
    <s v="False"/>
    <n v="0"/>
    <n v="778.61"/>
    <n v="778.61"/>
    <s v="Credito em loja"/>
    <s v="CrÃ©dito em loja"/>
    <x v="0"/>
    <s v="Nenhuma"/>
    <n v="4"/>
    <n v="4"/>
    <n v="93.43"/>
    <n v="0"/>
    <x v="1"/>
    <m/>
  </r>
  <r>
    <n v="7666"/>
    <d v="2025-05-08T00:00:00"/>
    <n v="1081"/>
    <x v="13"/>
    <s v="Nike AmÃ©ricas Shopping"/>
    <s v="Sudeste"/>
    <s v="Online"/>
    <s v="Online"/>
    <n v="2038"/>
    <s v="Nike Dragon Ball Edition"/>
    <x v="6"/>
    <x v="2"/>
    <n v="2023"/>
    <n v="40"/>
    <s v="Green/Yellow"/>
    <n v="2"/>
    <n v="344.96"/>
    <s v="True"/>
    <n v="34.5"/>
    <n v="310.45999999999998"/>
    <n v="310.45999999999998"/>
    <s v="Boleto"/>
    <s v="Boleto"/>
    <x v="0"/>
    <s v="Nenhuma"/>
    <n v="11"/>
    <n v="3"/>
    <n v="41.4"/>
    <n v="17.25"/>
    <x v="2"/>
    <m/>
  </r>
  <r>
    <n v="7667"/>
    <d v="2025-04-09T00:00:00"/>
    <n v="1058"/>
    <x v="22"/>
    <s v="Nike Shopping Paseo"/>
    <s v="Nordeste"/>
    <s v="Online"/>
    <s v="Online"/>
    <n v="2965"/>
    <s v="Nike One Piece Edition"/>
    <x v="6"/>
    <x v="0"/>
    <n v="2023"/>
    <n v="39"/>
    <s v="Green/Yellow"/>
    <n v="5"/>
    <n v="513.05999999999995"/>
    <s v="False"/>
    <n v="0"/>
    <n v="513.05999999999995"/>
    <n v="513.05999999999995"/>
    <s v="Cartão"/>
    <s v="CartÃ£o"/>
    <x v="0"/>
    <s v="Nenhuma"/>
    <n v="1"/>
    <n v="5"/>
    <n v="61.57"/>
    <n v="0"/>
    <x v="1"/>
    <m/>
  </r>
  <r>
    <n v="7668"/>
    <d v="2024-07-28T00:00:00"/>
    <n v="1060"/>
    <x v="28"/>
    <s v="Nike Shopping Nova AmÃ©rica"/>
    <s v="Norte"/>
    <s v="Marketplace"/>
    <s v="Marketplace"/>
    <n v="2959"/>
    <s v="Nike Dragon Ball Edition"/>
    <x v="7"/>
    <x v="2"/>
    <n v="2023"/>
    <n v="42"/>
    <s v="Black/Gold"/>
    <n v="4"/>
    <n v="612.53"/>
    <s v="True"/>
    <n v="61.25"/>
    <n v="551.28"/>
    <n v="551.28"/>
    <s v="Boleto"/>
    <s v="Boleto"/>
    <x v="1"/>
    <s v="Em anÃ¡lise"/>
    <n v="1"/>
    <n v="1"/>
    <n v="73.5"/>
    <n v="30.63"/>
    <x v="2"/>
    <m/>
  </r>
  <r>
    <n v="7669"/>
    <d v="2025-05-11T00:00:00"/>
    <n v="1043"/>
    <x v="22"/>
    <s v="Nike Shopping Paseo"/>
    <s v="Sul"/>
    <s v="Loja Física"/>
    <s v="Loja fÃ­sica"/>
    <n v="2370"/>
    <s v="Nike Rick and Morty Edition"/>
    <x v="0"/>
    <x v="1"/>
    <n v="2023"/>
    <n v="38"/>
    <s v="Green/Yellow"/>
    <n v="5"/>
    <n v="524.08000000000004"/>
    <s v="True"/>
    <n v="52.41"/>
    <n v="4716700000000000"/>
    <n v="471.67000000000007"/>
    <s v="Boleto"/>
    <s v="Boleto"/>
    <x v="2"/>
    <s v="Devolvido"/>
    <n v="11"/>
    <n v="2"/>
    <n v="62.89"/>
    <n v="26.2"/>
    <x v="1"/>
    <m/>
  </r>
  <r>
    <n v="7670"/>
    <d v="2024-11-15T00:00:00"/>
    <n v="1036"/>
    <x v="28"/>
    <s v="Nike Shopping Nova AmÃ©rica"/>
    <s v="Centro-Oeste"/>
    <s v="Online"/>
    <s v="Online"/>
    <n v="2816"/>
    <s v="Nike The Mandalorian Edition"/>
    <x v="4"/>
    <x v="2"/>
    <n v="2022"/>
    <n v="41"/>
    <s v="Black/Gold"/>
    <n v="5"/>
    <n v="382.19"/>
    <s v="False"/>
    <n v="0"/>
    <n v="382.19"/>
    <n v="382.19"/>
    <s v="Cartão"/>
    <s v="CartÃ£o"/>
    <x v="1"/>
    <s v="Em anÃ¡lise"/>
    <n v="5"/>
    <n v="4"/>
    <n v="45.86"/>
    <n v="0"/>
    <x v="2"/>
    <m/>
  </r>
  <r>
    <n v="7671"/>
    <d v="2024-12-02T00:00:00"/>
    <n v="1029"/>
    <x v="16"/>
    <s v="Nike Salvador Shopping"/>
    <s v="Norte"/>
    <s v="Marketplace"/>
    <s v="Marketplace"/>
    <n v="2749"/>
    <s v="Nike Stranger Things Edition"/>
    <x v="7"/>
    <x v="0"/>
    <n v="2024"/>
    <n v="38"/>
    <s v="Purple/Silver"/>
    <n v="1"/>
    <n v="561.54"/>
    <s v="True"/>
    <n v="56.15"/>
    <n v="505.39"/>
    <n v="505.39"/>
    <s v="Pix"/>
    <s v="Pix"/>
    <x v="1"/>
    <s v="Em anÃ¡lise"/>
    <n v="3"/>
    <n v="2"/>
    <n v="67.38"/>
    <n v="28.08"/>
    <x v="1"/>
    <m/>
  </r>
  <r>
    <n v="7672"/>
    <d v="2025-04-27T00:00:00"/>
    <n v="1042"/>
    <x v="24"/>
    <s v="Nike Shopping Salvador Norte"/>
    <s v="Sul"/>
    <s v="Marketplace"/>
    <s v="Marketplace"/>
    <n v="2737"/>
    <s v="Nike Dragon Ball Edition"/>
    <x v="2"/>
    <x v="0"/>
    <n v="2023"/>
    <n v="37"/>
    <s v="Green/Yellow"/>
    <n v="1"/>
    <n v="587.47"/>
    <s v="False"/>
    <n v="0"/>
    <n v="587.47"/>
    <n v="587.47"/>
    <s v="Boleto"/>
    <s v="Boleto"/>
    <x v="1"/>
    <s v="Em anÃ¡lise"/>
    <n v="3"/>
    <n v="1"/>
    <n v="70.5"/>
    <n v="0"/>
    <x v="1"/>
    <m/>
  </r>
  <r>
    <n v="7673"/>
    <d v="2024-10-13T00:00:00"/>
    <n v="1096"/>
    <x v="8"/>
    <s v="Nike Shopping Paralela"/>
    <s v="Norte"/>
    <s v="Loja Física"/>
    <s v="Loja fÃ­sica"/>
    <n v="2584"/>
    <s v="Nike One Piece Edition"/>
    <x v="2"/>
    <x v="0"/>
    <n v="2022"/>
    <n v="42"/>
    <s v="Purple/Silver"/>
    <n v="4"/>
    <n v="692.49"/>
    <s v="True"/>
    <n v="69.25"/>
    <n v="623.24"/>
    <n v="623.24"/>
    <s v="Credito em loja"/>
    <s v="CrÃ©dito em loja"/>
    <x v="2"/>
    <s v="Devolvido"/>
    <n v="10"/>
    <n v="1"/>
    <n v="83.1"/>
    <n v="34.619999999999997"/>
    <x v="1"/>
    <m/>
  </r>
  <r>
    <n v="7674"/>
    <d v="2025-05-04T00:00:00"/>
    <n v="1008"/>
    <x v="8"/>
    <s v="Nike Shopping Paralela"/>
    <s v="Centro-Oeste"/>
    <s v="Loja Física"/>
    <s v="Loja fÃ­sica"/>
    <n v="2358"/>
    <s v="Nike Naruto Edition"/>
    <x v="2"/>
    <x v="0"/>
    <n v="2024"/>
    <n v="39"/>
    <s v="Purple/Silver"/>
    <n v="1"/>
    <n v="478.9"/>
    <s v="False"/>
    <n v="0"/>
    <n v="478.9"/>
    <n v="478.9"/>
    <s v="Boleto"/>
    <s v="Boleto"/>
    <x v="2"/>
    <s v="Devolvido"/>
    <n v="9"/>
    <n v="3"/>
    <n v="57.47"/>
    <n v="0"/>
    <x v="1"/>
    <m/>
  </r>
  <r>
    <n v="7675"/>
    <d v="2025-04-14T00:00:00"/>
    <n v="1048"/>
    <x v="28"/>
    <s v="Nike Shopping Nova AmÃ©rica"/>
    <s v="Norte"/>
    <s v="Loja Física"/>
    <s v="Loja fÃ­sica"/>
    <n v="2908"/>
    <s v="Nike Rick and Morty Edition"/>
    <x v="7"/>
    <x v="1"/>
    <n v="2023"/>
    <n v="38"/>
    <s v="Purple/Silver"/>
    <n v="4"/>
    <n v="589.07000000000005"/>
    <s v="True"/>
    <n v="58.91"/>
    <n v="5301600000000000"/>
    <n v="530.16000000000008"/>
    <s v="Credito em loja"/>
    <s v="CrÃ©dito em loja"/>
    <x v="2"/>
    <s v="Devolvido"/>
    <n v="11"/>
    <n v="4"/>
    <n v="70.69"/>
    <n v="29.45"/>
    <x v="2"/>
    <m/>
  </r>
  <r>
    <n v="7676"/>
    <d v="2024-08-21T00:00:00"/>
    <n v="1069"/>
    <x v="28"/>
    <s v="Nike Shopping Nova AmÃ©rica"/>
    <s v="Norte"/>
    <s v="Loja Física"/>
    <s v="Loja fÃ­sica"/>
    <n v="2842"/>
    <s v="Nike Stranger Things Edition"/>
    <x v="5"/>
    <x v="0"/>
    <n v="2024"/>
    <n v="37"/>
    <s v="Black/Gold"/>
    <n v="4"/>
    <n v="345.42"/>
    <s v="True"/>
    <n v="34.54"/>
    <n v="310.88"/>
    <n v="310.88"/>
    <s v="Cartão"/>
    <s v="CartÃ£o"/>
    <x v="1"/>
    <s v="Em anÃ¡lise"/>
    <n v="14"/>
    <n v="2"/>
    <n v="41.45"/>
    <n v="17.27"/>
    <x v="2"/>
    <m/>
  </r>
  <r>
    <n v="7677"/>
    <d v="2024-12-04T00:00:00"/>
    <n v="1097"/>
    <x v="9"/>
    <s v="Nike Shopping Cidade SÃ£o Paulo"/>
    <s v="Centro-Oeste"/>
    <s v="Online"/>
    <s v="Online"/>
    <n v="2560"/>
    <s v="Nike Loki Edition"/>
    <x v="1"/>
    <x v="1"/>
    <n v="2022"/>
    <n v="42"/>
    <s v="Green/Yellow"/>
    <n v="4"/>
    <n v="321.39999999999998"/>
    <s v="True"/>
    <n v="32.14"/>
    <n v="289.26"/>
    <n v="289.26"/>
    <s v="Credito em loja"/>
    <s v="CrÃ©dito em loja"/>
    <x v="0"/>
    <s v="Nenhuma"/>
    <n v="5"/>
    <n v="2"/>
    <n v="38.57"/>
    <n v="16.07"/>
    <x v="0"/>
    <m/>
  </r>
  <r>
    <n v="7678"/>
    <d v="2024-09-09T00:00:00"/>
    <n v="1037"/>
    <x v="20"/>
    <s v="Nike Shopping da Bahia"/>
    <s v="Sudeste"/>
    <s v="Marketplace"/>
    <s v="Marketplace"/>
    <n v="2632"/>
    <s v="Nike Naruto Edition"/>
    <x v="5"/>
    <x v="1"/>
    <n v="2022"/>
    <n v="40"/>
    <s v="Green/Yellow"/>
    <n v="2"/>
    <n v="382.15"/>
    <s v="True"/>
    <n v="38.21"/>
    <n v="343.94"/>
    <n v="343.94"/>
    <s v="Cartão"/>
    <s v="CartÃ£o"/>
    <x v="0"/>
    <s v="Nenhuma"/>
    <n v="8"/>
    <n v="1"/>
    <n v="45.86"/>
    <n v="19.11"/>
    <x v="1"/>
    <m/>
  </r>
  <r>
    <n v="7679"/>
    <d v="2024-06-08T00:00:00"/>
    <n v="1028"/>
    <x v="15"/>
    <s v="Nike Boulevard Shopping"/>
    <s v="Sul"/>
    <s v="Loja Física"/>
    <s v="Loja fÃ­sica"/>
    <n v="2072"/>
    <s v="Nike The Mandalorian Edition"/>
    <x v="5"/>
    <x v="0"/>
    <n v="2024"/>
    <n v="42"/>
    <s v="Red/Black"/>
    <n v="5"/>
    <n v="670.28"/>
    <s v="False"/>
    <n v="0"/>
    <n v="670.28"/>
    <n v="670.28"/>
    <s v="Pix"/>
    <s v="Pix"/>
    <x v="2"/>
    <s v="Devolvido"/>
    <n v="1"/>
    <n v="5"/>
    <n v="80.430000000000007"/>
    <n v="0"/>
    <x v="1"/>
    <m/>
  </r>
  <r>
    <n v="7680"/>
    <d v="2025-04-11T00:00:00"/>
    <n v="1098"/>
    <x v="10"/>
    <s v="Nike Plaza Shopping NiterÃ³i"/>
    <s v="Sudeste"/>
    <s v="Loja Física"/>
    <s v="Loja fÃ­sica"/>
    <n v="2154"/>
    <s v="Nike Naruto Edition"/>
    <x v="5"/>
    <x v="2"/>
    <n v="2022"/>
    <n v="37"/>
    <s v="White/Blue"/>
    <n v="1"/>
    <n v="530.69000000000005"/>
    <s v="False"/>
    <n v="0"/>
    <n v="530.69000000000005"/>
    <n v="530.69000000000005"/>
    <s v="Credito em loja"/>
    <s v="CrÃ©dito em loja"/>
    <x v="1"/>
    <s v="Em anÃ¡lise"/>
    <n v="2"/>
    <n v="1"/>
    <n v="63.68"/>
    <n v="0"/>
    <x v="2"/>
    <m/>
  </r>
  <r>
    <n v="7681"/>
    <d v="2024-08-08T00:00:00"/>
    <n v="1037"/>
    <x v="24"/>
    <s v="Nike Shopping Salvador Norte"/>
    <s v="Norte"/>
    <s v="Loja Física"/>
    <s v="Loja fÃ­sica"/>
    <n v="2670"/>
    <s v="Nike Loki Edition"/>
    <x v="1"/>
    <x v="0"/>
    <n v="2024"/>
    <n v="42"/>
    <s v="White/Blue"/>
    <n v="1"/>
    <n v="619.95000000000005"/>
    <s v="False"/>
    <n v="0"/>
    <n v="619.95000000000005"/>
    <n v="619.95000000000005"/>
    <s v="Boleto"/>
    <s v="Boleto"/>
    <x v="2"/>
    <s v="Devolvido"/>
    <n v="9"/>
    <n v="2"/>
    <n v="74.39"/>
    <n v="0"/>
    <x v="1"/>
    <m/>
  </r>
  <r>
    <n v="7682"/>
    <d v="2024-09-13T00:00:00"/>
    <n v="1022"/>
    <x v="13"/>
    <s v="Nike AmÃ©ricas Shopping"/>
    <s v="Centro-Oeste"/>
    <s v="Loja Física"/>
    <s v="Loja fÃ­sica"/>
    <n v="2776"/>
    <s v="Nike The Mandalorian Edition"/>
    <x v="1"/>
    <x v="2"/>
    <n v="2022"/>
    <n v="39"/>
    <s v="Red/Black"/>
    <n v="4"/>
    <n v="633.72"/>
    <s v="True"/>
    <n v="63.37"/>
    <n v="570.35"/>
    <n v="570.35"/>
    <s v="Pix"/>
    <s v="Pix"/>
    <x v="2"/>
    <s v="Devolvido"/>
    <n v="15"/>
    <n v="5"/>
    <n v="76.05"/>
    <n v="31.69"/>
    <x v="2"/>
    <m/>
  </r>
  <r>
    <n v="7683"/>
    <d v="2025-05-19T00:00:00"/>
    <n v="1071"/>
    <x v="16"/>
    <s v="Nike Salvador Shopping"/>
    <s v="Sudeste"/>
    <s v="Loja Física"/>
    <s v="Loja fÃ­sica"/>
    <n v="2435"/>
    <s v="Nike Harry Potter Edition"/>
    <x v="3"/>
    <x v="2"/>
    <n v="2022"/>
    <n v="37"/>
    <s v="White/Blue"/>
    <n v="5"/>
    <n v="671.81"/>
    <s v="True"/>
    <n v="67.180000000000007"/>
    <n v="6046299999999990"/>
    <n v="604.62999999999988"/>
    <s v="Cartão"/>
    <s v="CartÃ£o"/>
    <x v="1"/>
    <s v="Em anÃ¡lise"/>
    <n v="1"/>
    <n v="2"/>
    <n v="80.62"/>
    <n v="33.590000000000003"/>
    <x v="1"/>
    <m/>
  </r>
  <r>
    <n v="7684"/>
    <d v="2024-07-25T00:00:00"/>
    <n v="1045"/>
    <x v="2"/>
    <s v="Nike Shopping PÃ¡tio Paulista"/>
    <s v="Sudeste"/>
    <s v="Loja Física"/>
    <s v="Loja fÃ­sica"/>
    <n v="2854"/>
    <s v="Nike Rick and Morty Edition"/>
    <x v="2"/>
    <x v="1"/>
    <n v="2023"/>
    <n v="40"/>
    <s v="Green/Yellow"/>
    <n v="1"/>
    <n v="612.66"/>
    <s v="True"/>
    <n v="61.27"/>
    <n v="551.39"/>
    <n v="551.39"/>
    <s v="Credito em loja"/>
    <s v="CrÃ©dito em loja"/>
    <x v="0"/>
    <s v="Nenhuma"/>
    <n v="11"/>
    <n v="4"/>
    <n v="73.52"/>
    <n v="30.63"/>
    <x v="0"/>
    <m/>
  </r>
  <r>
    <n v="7685"/>
    <d v="2024-09-26T00:00:00"/>
    <n v="1031"/>
    <x v="11"/>
    <s v="Nike Shopping RioSul"/>
    <s v="Sudeste"/>
    <s v="Marketplace"/>
    <s v="Marketplace"/>
    <n v="2648"/>
    <s v="Nike Naruto Edition"/>
    <x v="0"/>
    <x v="2"/>
    <n v="2023"/>
    <n v="41"/>
    <s v="Purple/Silver"/>
    <n v="3"/>
    <n v="326.23"/>
    <s v="True"/>
    <n v="32.619999999999997"/>
    <n v="293.61"/>
    <n v="293.61"/>
    <s v="Boleto"/>
    <s v="Boleto"/>
    <x v="2"/>
    <s v="Devolvido"/>
    <n v="5"/>
    <n v="1"/>
    <n v="39.15"/>
    <n v="16.309999999999999"/>
    <x v="2"/>
    <m/>
  </r>
  <r>
    <n v="7686"/>
    <d v="2025-03-26T00:00:00"/>
    <n v="1023"/>
    <x v="17"/>
    <s v="Nike Shopping Bela Vista"/>
    <s v="Nordeste"/>
    <s v="Loja Física"/>
    <s v="Loja fÃ­sica"/>
    <n v="2668"/>
    <s v="Nike Dragon Ball Edition"/>
    <x v="7"/>
    <x v="0"/>
    <n v="2024"/>
    <n v="40"/>
    <s v="Black/Gold"/>
    <n v="3"/>
    <n v="685.58"/>
    <s v="True"/>
    <n v="68.56"/>
    <n v="617.02"/>
    <n v="617.02"/>
    <s v="Cartão"/>
    <s v="CartÃ£o"/>
    <x v="1"/>
    <s v="Em anÃ¡lise"/>
    <n v="10"/>
    <n v="1"/>
    <n v="82.27"/>
    <n v="34.28"/>
    <x v="1"/>
    <m/>
  </r>
  <r>
    <n v="7687"/>
    <d v="2024-06-17T00:00:00"/>
    <n v="1066"/>
    <x v="16"/>
    <s v="Nike Salvador Shopping"/>
    <s v="Norte"/>
    <s v="Online"/>
    <s v="Online"/>
    <n v="2541"/>
    <s v="Nike Naruto Edition"/>
    <x v="3"/>
    <x v="2"/>
    <n v="2024"/>
    <n v="41"/>
    <s v="White/Blue"/>
    <n v="3"/>
    <n v="649.5"/>
    <s v="False"/>
    <n v="0"/>
    <n v="649.5"/>
    <n v="649.5"/>
    <s v="Cartão"/>
    <s v="CartÃ£o"/>
    <x v="2"/>
    <s v="Devolvido"/>
    <n v="13"/>
    <n v="3"/>
    <n v="77.94"/>
    <n v="0"/>
    <x v="1"/>
    <m/>
  </r>
  <r>
    <n v="7688"/>
    <d v="2025-02-11T00:00:00"/>
    <n v="1002"/>
    <x v="8"/>
    <s v="Nike Shopping Paralela"/>
    <s v="Nordeste"/>
    <s v="Marketplace"/>
    <s v="Marketplace"/>
    <n v="2913"/>
    <s v="Nike Loki Edition"/>
    <x v="7"/>
    <x v="2"/>
    <n v="2022"/>
    <n v="38"/>
    <s v="White/Blue"/>
    <n v="2"/>
    <n v="533.75"/>
    <s v="False"/>
    <n v="0"/>
    <n v="533.75"/>
    <n v="533.75"/>
    <s v="Boleto"/>
    <s v="Boleto"/>
    <x v="1"/>
    <s v="Em anÃ¡lise"/>
    <n v="10"/>
    <n v="5"/>
    <n v="64.05"/>
    <n v="0"/>
    <x v="1"/>
    <m/>
  </r>
  <r>
    <n v="7689"/>
    <d v="2024-09-26T00:00:00"/>
    <n v="1083"/>
    <x v="18"/>
    <s v="Nike BarraShopping"/>
    <s v="Sul"/>
    <s v="Loja Física"/>
    <s v="Loja fÃ­sica"/>
    <n v="2412"/>
    <s v="Nike Loki Edition"/>
    <x v="3"/>
    <x v="2"/>
    <n v="2022"/>
    <n v="39"/>
    <s v="Green/Yellow"/>
    <n v="1"/>
    <n v="619.67999999999995"/>
    <s v="True"/>
    <n v="61.97"/>
    <n v="5577099999999990"/>
    <n v="557.70999999999992"/>
    <s v="Boleto"/>
    <s v="Boleto"/>
    <x v="1"/>
    <s v="Em anÃ¡lise"/>
    <n v="4"/>
    <n v="1"/>
    <n v="74.36"/>
    <n v="30.98"/>
    <x v="2"/>
    <m/>
  </r>
  <r>
    <n v="7690"/>
    <d v="2025-04-11T00:00:00"/>
    <n v="1025"/>
    <x v="18"/>
    <s v="Nike BarraShopping"/>
    <s v="Sul"/>
    <s v="Marketplace"/>
    <s v="Marketplace"/>
    <n v="2532"/>
    <s v="Nike The Mandalorian Edition"/>
    <x v="2"/>
    <x v="2"/>
    <n v="2023"/>
    <n v="37"/>
    <s v="Purple/Silver"/>
    <n v="5"/>
    <n v="788.58"/>
    <s v="False"/>
    <n v="0"/>
    <n v="788.58"/>
    <n v="788.58"/>
    <s v="Boleto"/>
    <s v="Boleto"/>
    <x v="1"/>
    <s v="Em anÃ¡lise"/>
    <n v="2"/>
    <n v="1"/>
    <n v="94.63"/>
    <n v="0"/>
    <x v="2"/>
    <m/>
  </r>
  <r>
    <n v="7691"/>
    <d v="2025-03-26T00:00:00"/>
    <n v="1042"/>
    <x v="29"/>
    <s v="Nike Shopping Downtown"/>
    <s v="Nordeste"/>
    <s v="Loja Física"/>
    <s v="Loja fÃ­sica"/>
    <n v="2599"/>
    <s v="Nike Dragon Ball Edition"/>
    <x v="5"/>
    <x v="0"/>
    <n v="2023"/>
    <n v="37"/>
    <s v="Purple/Silver"/>
    <n v="1"/>
    <n v="623.22"/>
    <s v="True"/>
    <n v="62.32"/>
    <n v="560.9"/>
    <n v="560.9"/>
    <s v="Pix"/>
    <s v="Pix"/>
    <x v="0"/>
    <s v="Nenhuma"/>
    <n v="7"/>
    <n v="1"/>
    <n v="74.790000000000006"/>
    <n v="31.16"/>
    <x v="2"/>
    <m/>
  </r>
  <r>
    <n v="7692"/>
    <d v="2024-09-17T00:00:00"/>
    <n v="1051"/>
    <x v="16"/>
    <s v="Nike Salvador Shopping"/>
    <s v="Nordeste"/>
    <s v="Online"/>
    <s v="Online"/>
    <n v="2242"/>
    <s v="Nike Dragon Ball Edition"/>
    <x v="2"/>
    <x v="1"/>
    <n v="2022"/>
    <n v="37"/>
    <s v="Red/Black"/>
    <n v="5"/>
    <n v="472.35"/>
    <s v="True"/>
    <n v="47.24"/>
    <n v="425.11"/>
    <n v="425.11"/>
    <s v="Pix"/>
    <s v="Pix"/>
    <x v="2"/>
    <s v="Devolvido"/>
    <n v="3"/>
    <n v="4"/>
    <n v="56.68"/>
    <n v="23.62"/>
    <x v="1"/>
    <m/>
  </r>
  <r>
    <n v="7693"/>
    <d v="2025-05-07T00:00:00"/>
    <n v="1018"/>
    <x v="20"/>
    <s v="Nike Shopping da Bahia"/>
    <s v="Nordeste"/>
    <s v="Loja Física"/>
    <s v="Loja fÃ­sica"/>
    <n v="2402"/>
    <s v="Nike Dragon Ball Edition"/>
    <x v="0"/>
    <x v="0"/>
    <n v="2023"/>
    <n v="42"/>
    <s v="Red/Black"/>
    <n v="4"/>
    <n v="537.66"/>
    <s v="False"/>
    <n v="0"/>
    <n v="537.66"/>
    <n v="537.66"/>
    <s v="Cartão"/>
    <s v="CartÃ£o"/>
    <x v="0"/>
    <s v="Nenhuma"/>
    <n v="8"/>
    <n v="2"/>
    <n v="64.52"/>
    <n v="0"/>
    <x v="1"/>
    <m/>
  </r>
  <r>
    <n v="7694"/>
    <d v="2024-08-01T00:00:00"/>
    <n v="1084"/>
    <x v="5"/>
    <s v="Nike Shopping Iguatemi"/>
    <s v="Sul"/>
    <s v="Marketplace"/>
    <s v="Marketplace"/>
    <n v="2516"/>
    <s v="Nike The Mandalorian Edition"/>
    <x v="6"/>
    <x v="2"/>
    <n v="2022"/>
    <n v="38"/>
    <s v="Green/Yellow"/>
    <n v="5"/>
    <n v="552.84"/>
    <s v="True"/>
    <n v="55.28"/>
    <n v="4.9756E+16"/>
    <n v="497.56000000000006"/>
    <s v="Pix"/>
    <s v="Pix"/>
    <x v="1"/>
    <s v="Em anÃ¡lise"/>
    <n v="11"/>
    <n v="2"/>
    <n v="66.34"/>
    <n v="27.64"/>
    <x v="0"/>
    <m/>
  </r>
  <r>
    <n v="7695"/>
    <d v="2025-02-12T00:00:00"/>
    <n v="1037"/>
    <x v="8"/>
    <s v="Nike Shopping Paralela"/>
    <s v="Nordeste"/>
    <s v="Online"/>
    <s v="Online"/>
    <n v="2710"/>
    <s v="Nike Stranger Things Edition"/>
    <x v="3"/>
    <x v="1"/>
    <n v="2023"/>
    <n v="38"/>
    <s v="Green/Yellow"/>
    <n v="3"/>
    <n v="332.56"/>
    <s v="False"/>
    <n v="0"/>
    <n v="332.56"/>
    <n v="332.56"/>
    <s v="Credito em loja"/>
    <s v="CrÃ©dito em loja"/>
    <x v="0"/>
    <s v="Nenhuma"/>
    <n v="4"/>
    <n v="3"/>
    <n v="39.909999999999997"/>
    <n v="0"/>
    <x v="1"/>
    <m/>
  </r>
  <r>
    <n v="7696"/>
    <d v="2024-11-27T00:00:00"/>
    <n v="1092"/>
    <x v="26"/>
    <s v="Nike Shopping Tijuca"/>
    <s v="Nordeste"/>
    <s v="Marketplace"/>
    <s v="Marketplace"/>
    <n v="2711"/>
    <s v="Nike Harry Potter Edition"/>
    <x v="1"/>
    <x v="0"/>
    <n v="2022"/>
    <n v="38"/>
    <s v="Black/Gold"/>
    <n v="3"/>
    <n v="469.09"/>
    <s v="False"/>
    <n v="0"/>
    <n v="469.09"/>
    <n v="469.09"/>
    <s v="Boleto"/>
    <s v="Boleto"/>
    <x v="1"/>
    <s v="Em anÃ¡lise"/>
    <n v="11"/>
    <n v="5"/>
    <n v="56.29"/>
    <n v="0"/>
    <x v="2"/>
    <m/>
  </r>
  <r>
    <n v="7697"/>
    <d v="2024-09-10T00:00:00"/>
    <n v="1005"/>
    <x v="19"/>
    <s v="Nike Shopping Barra"/>
    <s v="Norte"/>
    <s v="Online"/>
    <s v="Online"/>
    <n v="2793"/>
    <s v="Nike Dragon Ball Edition"/>
    <x v="0"/>
    <x v="2"/>
    <n v="2023"/>
    <n v="40"/>
    <s v="White/Blue"/>
    <n v="4"/>
    <n v="407.35"/>
    <s v="True"/>
    <n v="40.74"/>
    <n v="366.61"/>
    <n v="366.61"/>
    <s v="Credito em loja"/>
    <s v="CrÃ©dito em loja"/>
    <x v="1"/>
    <s v="Em anÃ¡lise"/>
    <n v="2"/>
    <n v="3"/>
    <n v="48.88"/>
    <n v="20.37"/>
    <x v="1"/>
    <m/>
  </r>
  <r>
    <n v="7698"/>
    <d v="2025-01-23T00:00:00"/>
    <n v="1090"/>
    <x v="2"/>
    <s v="Nike Shopping PÃ¡tio Paulista"/>
    <s v="Sudeste"/>
    <s v="Loja Física"/>
    <s v="Loja fÃ­sica"/>
    <n v="2384"/>
    <s v="Nike Stranger Things Edition"/>
    <x v="7"/>
    <x v="0"/>
    <n v="2022"/>
    <n v="42"/>
    <s v="Black/Gold"/>
    <n v="5"/>
    <n v="779.03"/>
    <s v="True"/>
    <n v="77.900000000000006"/>
    <n v="701.13"/>
    <n v="701.13"/>
    <s v="Cartão"/>
    <s v="CartÃ£o"/>
    <x v="1"/>
    <s v="Em anÃ¡lise"/>
    <n v="4"/>
    <n v="4"/>
    <n v="93.48"/>
    <n v="38.950000000000003"/>
    <x v="0"/>
    <m/>
  </r>
  <r>
    <n v="7699"/>
    <d v="2025-02-11T00:00:00"/>
    <n v="1057"/>
    <x v="16"/>
    <s v="Nike Salvador Shopping"/>
    <s v="Centro-Oeste"/>
    <s v="Loja Física"/>
    <s v="Loja fÃ­sica"/>
    <n v="2969"/>
    <s v="Nike Dragon Ball Edition"/>
    <x v="3"/>
    <x v="2"/>
    <n v="2022"/>
    <n v="38"/>
    <s v="Red/Black"/>
    <n v="3"/>
    <n v="424.81"/>
    <s v="True"/>
    <n v="42.48"/>
    <n v="382.33"/>
    <n v="382.33"/>
    <s v="Boleto"/>
    <s v="Boleto"/>
    <x v="0"/>
    <s v="Nenhuma"/>
    <n v="1"/>
    <n v="1"/>
    <n v="50.98"/>
    <n v="21.24"/>
    <x v="1"/>
    <m/>
  </r>
  <r>
    <n v="7700"/>
    <d v="2024-07-20T00:00:00"/>
    <n v="1078"/>
    <x v="10"/>
    <s v="Nike Plaza Shopping NiterÃ³i"/>
    <s v="Nordeste"/>
    <s v="Online"/>
    <s v="Online"/>
    <n v="2871"/>
    <s v="Nike Naruto Edition"/>
    <x v="4"/>
    <x v="0"/>
    <n v="2022"/>
    <n v="40"/>
    <s v="Black/Gold"/>
    <n v="5"/>
    <n v="374.29"/>
    <s v="True"/>
    <n v="37.43"/>
    <n v="336.86"/>
    <n v="336.86"/>
    <s v="Credito em loja"/>
    <s v="CrÃ©dito em loja"/>
    <x v="0"/>
    <s v="Nenhuma"/>
    <n v="2"/>
    <n v="1"/>
    <n v="44.91"/>
    <n v="18.71"/>
    <x v="2"/>
    <m/>
  </r>
  <r>
    <n v="7701"/>
    <d v="2024-11-16T00:00:00"/>
    <n v="1031"/>
    <x v="7"/>
    <s v="Nike Shopping Metropolitano"/>
    <s v="Sul"/>
    <s v="Marketplace"/>
    <s v="Marketplace"/>
    <n v="2144"/>
    <s v="Nike Loki Edition"/>
    <x v="4"/>
    <x v="2"/>
    <n v="2022"/>
    <n v="39"/>
    <s v="Black/Gold"/>
    <n v="1"/>
    <n v="387.23"/>
    <s v="True"/>
    <n v="38.72"/>
    <n v="348.51"/>
    <n v="348.51"/>
    <s v="Boleto"/>
    <s v="Boleto"/>
    <x v="1"/>
    <s v="Em anÃ¡lise"/>
    <n v="4"/>
    <n v="5"/>
    <n v="46.47"/>
    <n v="19.36"/>
    <x v="2"/>
    <m/>
  </r>
  <r>
    <n v="7702"/>
    <d v="2024-09-20T00:00:00"/>
    <n v="1083"/>
    <x v="9"/>
    <s v="Nike Shopping Cidade SÃ£o Paulo"/>
    <s v="Norte"/>
    <s v="Online"/>
    <s v="Online"/>
    <n v="2729"/>
    <s v="Nike One Piece Edition"/>
    <x v="2"/>
    <x v="1"/>
    <n v="2024"/>
    <n v="40"/>
    <s v="White/Blue"/>
    <n v="3"/>
    <n v="461.45"/>
    <s v="True"/>
    <n v="46.15"/>
    <n v="415.3"/>
    <n v="415.3"/>
    <s v="Credito em loja"/>
    <s v="CrÃ©dito em loja"/>
    <x v="0"/>
    <s v="Nenhuma"/>
    <n v="13"/>
    <n v="2"/>
    <n v="55.37"/>
    <n v="23.07"/>
    <x v="0"/>
    <m/>
  </r>
  <r>
    <n v="7703"/>
    <d v="2025-03-25T00:00:00"/>
    <n v="1096"/>
    <x v="5"/>
    <s v="Nike Shopping Iguatemi"/>
    <s v="Sudeste"/>
    <s v="Marketplace"/>
    <s v="Marketplace"/>
    <n v="2131"/>
    <s v="Nike Stranger Things Edition"/>
    <x v="7"/>
    <x v="0"/>
    <n v="2022"/>
    <n v="38"/>
    <s v="Red/Black"/>
    <n v="4"/>
    <n v="548.79999999999995"/>
    <s v="True"/>
    <n v="54.88"/>
    <n v="4.9391999999999904E+16"/>
    <n v="493.91999999999996"/>
    <s v="Credito em loja"/>
    <s v="CrÃ©dito em loja"/>
    <x v="0"/>
    <s v="Nenhuma"/>
    <n v="10"/>
    <n v="4"/>
    <n v="65.86"/>
    <n v="27.44"/>
    <x v="0"/>
    <m/>
  </r>
  <r>
    <n v="7704"/>
    <d v="2025-03-03T00:00:00"/>
    <n v="1021"/>
    <x v="13"/>
    <s v="Nike AmÃ©ricas Shopping"/>
    <s v="Nordeste"/>
    <s v="Marketplace"/>
    <s v="Marketplace"/>
    <n v="2208"/>
    <s v="Nike Dragon Ball Edition"/>
    <x v="1"/>
    <x v="0"/>
    <n v="2024"/>
    <n v="37"/>
    <s v="Green/Yellow"/>
    <n v="5"/>
    <n v="778.63"/>
    <s v="True"/>
    <n v="77.86"/>
    <n v="700.77"/>
    <n v="700.77"/>
    <s v="Pix"/>
    <s v="Pix"/>
    <x v="1"/>
    <s v="Em anÃ¡lise"/>
    <n v="13"/>
    <n v="2"/>
    <n v="93.44"/>
    <n v="38.93"/>
    <x v="2"/>
    <m/>
  </r>
  <r>
    <n v="7705"/>
    <d v="2024-12-07T00:00:00"/>
    <n v="1036"/>
    <x v="2"/>
    <s v="Nike Shopping PÃ¡tio Paulista"/>
    <s v="Sul"/>
    <s v="Online"/>
    <s v="Online"/>
    <n v="2443"/>
    <s v="Nike Rick and Morty Edition"/>
    <x v="7"/>
    <x v="1"/>
    <n v="2024"/>
    <n v="38"/>
    <s v="Black/Gold"/>
    <n v="2"/>
    <n v="576.04"/>
    <s v="True"/>
    <n v="57.6"/>
    <n v="5184399999999990"/>
    <n v="518.43999999999994"/>
    <s v="Credito em loja"/>
    <s v="CrÃ©dito em loja"/>
    <x v="2"/>
    <s v="Devolvido"/>
    <n v="9"/>
    <n v="1"/>
    <n v="69.12"/>
    <n v="28.8"/>
    <x v="0"/>
    <m/>
  </r>
  <r>
    <n v="7706"/>
    <d v="2024-10-20T00:00:00"/>
    <n v="1008"/>
    <x v="11"/>
    <s v="Nike Shopping RioSul"/>
    <s v="Norte"/>
    <s v="Loja Física"/>
    <s v="Loja fÃ­sica"/>
    <n v="2728"/>
    <s v="Nike One Piece Edition"/>
    <x v="0"/>
    <x v="2"/>
    <n v="2024"/>
    <n v="37"/>
    <s v="Black/Gold"/>
    <n v="2"/>
    <n v="712.7"/>
    <s v="False"/>
    <n v="0"/>
    <n v="712.7"/>
    <n v="712.7"/>
    <s v="Pix"/>
    <s v="Pix"/>
    <x v="0"/>
    <s v="Nenhuma"/>
    <n v="3"/>
    <n v="5"/>
    <n v="85.52"/>
    <n v="0"/>
    <x v="2"/>
    <m/>
  </r>
  <r>
    <n v="7707"/>
    <d v="2024-08-05T00:00:00"/>
    <n v="1095"/>
    <x v="6"/>
    <s v="Nike Shopping JK Iguatemi"/>
    <s v="Centro-Oeste"/>
    <s v="Online"/>
    <s v="Online"/>
    <n v="2545"/>
    <s v="Nike Stranger Things Edition"/>
    <x v="5"/>
    <x v="0"/>
    <n v="2022"/>
    <n v="42"/>
    <s v="Purple/Silver"/>
    <n v="5"/>
    <n v="441.98"/>
    <s v="True"/>
    <n v="44.2"/>
    <n v="3.9778E+16"/>
    <n v="397.78000000000003"/>
    <s v="Credito em loja"/>
    <s v="CrÃ©dito em loja"/>
    <x v="1"/>
    <s v="Em anÃ¡lise"/>
    <n v="15"/>
    <n v="2"/>
    <n v="53.04"/>
    <n v="22.1"/>
    <x v="0"/>
    <m/>
  </r>
  <r>
    <n v="7708"/>
    <d v="2025-01-05T00:00:00"/>
    <n v="1067"/>
    <x v="18"/>
    <s v="Nike BarraShopping"/>
    <s v="Nordeste"/>
    <s v="Online"/>
    <s v="Online"/>
    <n v="2667"/>
    <s v="Nike Loki Edition"/>
    <x v="5"/>
    <x v="1"/>
    <n v="2022"/>
    <n v="42"/>
    <s v="Black/Gold"/>
    <n v="1"/>
    <n v="710.64"/>
    <s v="True"/>
    <n v="71.06"/>
    <n v="6395799999999990"/>
    <n v="639.57999999999993"/>
    <s v="Cartão"/>
    <s v="CartÃ£o"/>
    <x v="0"/>
    <s v="Nenhuma"/>
    <n v="6"/>
    <n v="3"/>
    <n v="85.28"/>
    <n v="35.53"/>
    <x v="2"/>
    <m/>
  </r>
  <r>
    <n v="7709"/>
    <d v="2025-01-03T00:00:00"/>
    <n v="1000"/>
    <x v="4"/>
    <s v="Nike Shopping Morumbi"/>
    <s v="Nordeste"/>
    <s v="Marketplace"/>
    <s v="Marketplace"/>
    <n v="2837"/>
    <s v="Nike Stranger Things Edition"/>
    <x v="3"/>
    <x v="2"/>
    <n v="2024"/>
    <n v="38"/>
    <s v="Purple/Silver"/>
    <n v="4"/>
    <n v="625.47"/>
    <s v="False"/>
    <n v="0"/>
    <n v="625.47"/>
    <n v="625.47"/>
    <s v="Credito em loja"/>
    <s v="CrÃ©dito em loja"/>
    <x v="2"/>
    <s v="Devolvido"/>
    <n v="12"/>
    <n v="3"/>
    <n v="75.06"/>
    <n v="0"/>
    <x v="0"/>
    <m/>
  </r>
  <r>
    <n v="7710"/>
    <d v="2025-04-11T00:00:00"/>
    <n v="1024"/>
    <x v="12"/>
    <s v="Nike Shopping Itaigara"/>
    <s v="Centro-Oeste"/>
    <s v="Loja Física"/>
    <s v="Loja fÃ­sica"/>
    <n v="2636"/>
    <s v="Nike One Piece Edition"/>
    <x v="0"/>
    <x v="0"/>
    <n v="2024"/>
    <n v="37"/>
    <s v="White/Blue"/>
    <n v="1"/>
    <n v="540.01"/>
    <s v="False"/>
    <n v="0"/>
    <n v="540.01"/>
    <n v="540.01"/>
    <s v="Credito em loja"/>
    <s v="CrÃ©dito em loja"/>
    <x v="0"/>
    <s v="Nenhuma"/>
    <n v="14"/>
    <n v="4"/>
    <n v="64.8"/>
    <n v="0"/>
    <x v="1"/>
    <m/>
  </r>
  <r>
    <n v="7711"/>
    <d v="2024-07-09T00:00:00"/>
    <n v="1075"/>
    <x v="27"/>
    <s v="Nike Shopping Center Lapa"/>
    <s v="Centro-Oeste"/>
    <s v="Loja Física"/>
    <s v="Loja fÃ­sica"/>
    <n v="2294"/>
    <s v="Nike One Piece Edition"/>
    <x v="1"/>
    <x v="1"/>
    <n v="2022"/>
    <n v="40"/>
    <s v="Green/Yellow"/>
    <n v="1"/>
    <n v="707.56"/>
    <s v="True"/>
    <n v="70.760000000000005"/>
    <n v="636.79999999999995"/>
    <n v="636.79999999999995"/>
    <s v="Boleto"/>
    <s v="Boleto"/>
    <x v="0"/>
    <s v="Nenhuma"/>
    <n v="9"/>
    <n v="4"/>
    <n v="84.91"/>
    <n v="35.380000000000003"/>
    <x v="1"/>
    <m/>
  </r>
  <r>
    <n v="7712"/>
    <d v="2025-03-30T00:00:00"/>
    <n v="1090"/>
    <x v="13"/>
    <s v="Nike AmÃ©ricas Shopping"/>
    <s v="Sul"/>
    <s v="Online"/>
    <s v="Online"/>
    <n v="2759"/>
    <s v="Nike Harry Potter Edition"/>
    <x v="5"/>
    <x v="1"/>
    <n v="2023"/>
    <n v="40"/>
    <s v="Purple/Silver"/>
    <n v="1"/>
    <n v="414.63"/>
    <s v="False"/>
    <n v="0"/>
    <n v="414.63"/>
    <n v="414.63"/>
    <s v="Credito em loja"/>
    <s v="CrÃ©dito em loja"/>
    <x v="2"/>
    <s v="Devolvido"/>
    <n v="7"/>
    <n v="2"/>
    <n v="49.76"/>
    <n v="0"/>
    <x v="2"/>
    <m/>
  </r>
  <r>
    <n v="7713"/>
    <d v="2024-09-07T00:00:00"/>
    <n v="1098"/>
    <x v="29"/>
    <s v="Nike Shopping Downtown"/>
    <s v="Sudeste"/>
    <s v="Loja Física"/>
    <s v="Loja fÃ­sica"/>
    <n v="2777"/>
    <s v="Nike Stranger Things Edition"/>
    <x v="7"/>
    <x v="2"/>
    <n v="2022"/>
    <n v="40"/>
    <s v="Red/Black"/>
    <n v="1"/>
    <n v="583.84"/>
    <s v="False"/>
    <n v="0"/>
    <n v="583.84"/>
    <n v="583.84"/>
    <s v="Pix"/>
    <s v="Pix"/>
    <x v="1"/>
    <s v="Em anÃ¡lise"/>
    <n v="15"/>
    <n v="4"/>
    <n v="70.06"/>
    <n v="0"/>
    <x v="2"/>
    <m/>
  </r>
  <r>
    <n v="7714"/>
    <d v="2024-11-25T00:00:00"/>
    <n v="1012"/>
    <x v="24"/>
    <s v="Nike Shopping Salvador Norte"/>
    <s v="Centro-Oeste"/>
    <s v="Loja Física"/>
    <s v="Loja fÃ­sica"/>
    <n v="2876"/>
    <s v="Nike Naruto Edition"/>
    <x v="4"/>
    <x v="2"/>
    <n v="2022"/>
    <n v="42"/>
    <s v="White/Blue"/>
    <n v="5"/>
    <n v="756.17"/>
    <s v="False"/>
    <n v="0"/>
    <n v="756.17"/>
    <n v="756.17"/>
    <s v="Boleto"/>
    <s v="Boleto"/>
    <x v="2"/>
    <s v="Devolvido"/>
    <n v="10"/>
    <n v="2"/>
    <n v="90.74"/>
    <n v="0"/>
    <x v="1"/>
    <m/>
  </r>
  <r>
    <n v="7715"/>
    <d v="2024-11-21T00:00:00"/>
    <n v="1028"/>
    <x v="0"/>
    <s v="Nike Shopping Vila OlÃ­mpia"/>
    <s v="Nordeste"/>
    <s v="Online"/>
    <s v="Online"/>
    <n v="2692"/>
    <s v="Nike Dragon Ball Edition"/>
    <x v="7"/>
    <x v="1"/>
    <n v="2024"/>
    <n v="38"/>
    <s v="Purple/Silver"/>
    <n v="3"/>
    <n v="532.98"/>
    <s v="True"/>
    <n v="53.3"/>
    <n v="479.68"/>
    <n v="479.68"/>
    <s v="Pix"/>
    <s v="Pix"/>
    <x v="1"/>
    <s v="Em anÃ¡lise"/>
    <n v="11"/>
    <n v="1"/>
    <n v="63.96"/>
    <n v="26.65"/>
    <x v="0"/>
    <m/>
  </r>
  <r>
    <n v="7716"/>
    <d v="2025-01-09T00:00:00"/>
    <n v="1046"/>
    <x v="26"/>
    <s v="Nike Shopping Tijuca"/>
    <s v="Norte"/>
    <s v="Online"/>
    <s v="Online"/>
    <n v="2895"/>
    <s v="Nike Loki Edition"/>
    <x v="4"/>
    <x v="0"/>
    <n v="2024"/>
    <n v="38"/>
    <s v="White/Blue"/>
    <n v="2"/>
    <n v="623.58000000000004"/>
    <s v="True"/>
    <n v="62.36"/>
    <n v="561.22"/>
    <n v="561.22"/>
    <s v="Pix"/>
    <s v="Pix"/>
    <x v="2"/>
    <s v="Devolvido"/>
    <n v="1"/>
    <n v="2"/>
    <n v="74.83"/>
    <n v="31.18"/>
    <x v="2"/>
    <m/>
  </r>
  <r>
    <n v="7717"/>
    <d v="2024-10-05T00:00:00"/>
    <n v="1022"/>
    <x v="27"/>
    <s v="Nike Shopping Center Lapa"/>
    <s v="Sul"/>
    <s v="Online"/>
    <s v="Online"/>
    <n v="2378"/>
    <s v="Nike The Mandalorian Edition"/>
    <x v="1"/>
    <x v="0"/>
    <n v="2023"/>
    <n v="38"/>
    <s v="White/Blue"/>
    <n v="3"/>
    <n v="490.13"/>
    <s v="False"/>
    <n v="0"/>
    <n v="490.13"/>
    <n v="490.13"/>
    <s v="Pix"/>
    <s v="Pix"/>
    <x v="0"/>
    <s v="Nenhuma"/>
    <n v="13"/>
    <n v="5"/>
    <n v="58.82"/>
    <n v="0"/>
    <x v="1"/>
    <m/>
  </r>
  <r>
    <n v="7718"/>
    <d v="2024-11-17T00:00:00"/>
    <n v="1019"/>
    <x v="28"/>
    <s v="Nike Shopping Nova AmÃ©rica"/>
    <s v="Nordeste"/>
    <s v="Loja Física"/>
    <s v="Loja fÃ­sica"/>
    <n v="2820"/>
    <s v="Nike Loki Edition"/>
    <x v="4"/>
    <x v="2"/>
    <n v="2024"/>
    <n v="42"/>
    <s v="Black/Gold"/>
    <n v="5"/>
    <n v="368.47"/>
    <s v="False"/>
    <n v="0"/>
    <n v="368.47"/>
    <n v="368.47"/>
    <s v="Boleto"/>
    <s v="Boleto"/>
    <x v="1"/>
    <s v="Em anÃ¡lise"/>
    <n v="13"/>
    <n v="2"/>
    <n v="44.22"/>
    <n v="0"/>
    <x v="2"/>
    <m/>
  </r>
  <r>
    <n v="7719"/>
    <d v="2025-04-16T00:00:00"/>
    <n v="1085"/>
    <x v="25"/>
    <s v="Nike Shopping Center Norte"/>
    <s v="Nordeste"/>
    <s v="Loja Física"/>
    <s v="Loja fÃ­sica"/>
    <n v="2245"/>
    <s v="Nike One Piece Edition"/>
    <x v="3"/>
    <x v="2"/>
    <n v="2022"/>
    <n v="40"/>
    <s v="White/Blue"/>
    <n v="3"/>
    <n v="496.42"/>
    <s v="True"/>
    <n v="49.64"/>
    <n v="4.4678E+16"/>
    <n v="446.78000000000003"/>
    <s v="Credito em loja"/>
    <s v="CrÃ©dito em loja"/>
    <x v="0"/>
    <s v="Nenhuma"/>
    <n v="13"/>
    <n v="1"/>
    <n v="59.57"/>
    <n v="24.82"/>
    <x v="0"/>
    <m/>
  </r>
  <r>
    <n v="7720"/>
    <d v="2025-03-30T00:00:00"/>
    <n v="1050"/>
    <x v="22"/>
    <s v="Nike Shopping Paseo"/>
    <s v="Sul"/>
    <s v="Loja Física"/>
    <s v="Loja fÃ­sica"/>
    <n v="2398"/>
    <s v="Nike One Piece Edition"/>
    <x v="0"/>
    <x v="1"/>
    <n v="2024"/>
    <n v="41"/>
    <s v="White/Blue"/>
    <n v="3"/>
    <n v="442.62"/>
    <s v="False"/>
    <n v="0"/>
    <n v="442.62"/>
    <n v="442.62"/>
    <s v="Credito em loja"/>
    <s v="CrÃ©dito em loja"/>
    <x v="1"/>
    <s v="Em anÃ¡lise"/>
    <n v="11"/>
    <n v="5"/>
    <n v="53.11"/>
    <n v="0"/>
    <x v="1"/>
    <m/>
  </r>
  <r>
    <n v="7721"/>
    <d v="2024-06-27T00:00:00"/>
    <n v="1022"/>
    <x v="25"/>
    <s v="Nike Shopping Center Norte"/>
    <s v="Centro-Oeste"/>
    <s v="Marketplace"/>
    <s v="Marketplace"/>
    <n v="2039"/>
    <s v="Nike Naruto Edition"/>
    <x v="1"/>
    <x v="0"/>
    <n v="2023"/>
    <n v="39"/>
    <s v="White/Blue"/>
    <n v="1"/>
    <n v="638.17999999999995"/>
    <s v="True"/>
    <n v="63.82"/>
    <n v="5743599999999990"/>
    <n v="574.3599999999999"/>
    <s v="Pix"/>
    <s v="Pix"/>
    <x v="2"/>
    <s v="Devolvido"/>
    <n v="1"/>
    <n v="5"/>
    <n v="76.58"/>
    <n v="31.91"/>
    <x v="0"/>
    <m/>
  </r>
  <r>
    <n v="7722"/>
    <d v="2024-06-11T00:00:00"/>
    <n v="1082"/>
    <x v="27"/>
    <s v="Nike Shopping Center Lapa"/>
    <s v="Sul"/>
    <s v="Marketplace"/>
    <s v="Marketplace"/>
    <n v="2640"/>
    <s v="Nike Naruto Edition"/>
    <x v="5"/>
    <x v="0"/>
    <n v="2024"/>
    <n v="40"/>
    <s v="Red/Black"/>
    <n v="1"/>
    <n v="406.33"/>
    <s v="False"/>
    <n v="0"/>
    <n v="406.33"/>
    <n v="406.33"/>
    <s v="Cartão"/>
    <s v="CartÃ£o"/>
    <x v="2"/>
    <s v="Devolvido"/>
    <n v="2"/>
    <n v="3"/>
    <n v="48.76"/>
    <n v="0"/>
    <x v="1"/>
    <m/>
  </r>
  <r>
    <n v="7723"/>
    <d v="2025-03-22T00:00:00"/>
    <n v="1011"/>
    <x v="5"/>
    <s v="Nike Shopping Iguatemi"/>
    <s v="Norte"/>
    <s v="Online"/>
    <s v="Online"/>
    <n v="2762"/>
    <s v="Nike Rick and Morty Edition"/>
    <x v="3"/>
    <x v="1"/>
    <n v="2024"/>
    <n v="39"/>
    <s v="White/Blue"/>
    <n v="4"/>
    <n v="421.57"/>
    <s v="True"/>
    <n v="42.16"/>
    <n v="3.7940999999999904E+16"/>
    <n v="379.40999999999997"/>
    <s v="Boleto"/>
    <s v="Boleto"/>
    <x v="1"/>
    <s v="Em anÃ¡lise"/>
    <n v="7"/>
    <n v="5"/>
    <n v="50.59"/>
    <n v="21.08"/>
    <x v="0"/>
    <m/>
  </r>
  <r>
    <n v="7724"/>
    <d v="2024-09-03T00:00:00"/>
    <n v="1066"/>
    <x v="7"/>
    <s v="Nike Shopping Metropolitano"/>
    <s v="Sudeste"/>
    <s v="Loja Física"/>
    <s v="Loja fÃ­sica"/>
    <n v="2827"/>
    <s v="Nike Naruto Edition"/>
    <x v="5"/>
    <x v="2"/>
    <n v="2022"/>
    <n v="40"/>
    <s v="White/Blue"/>
    <n v="2"/>
    <n v="680.96"/>
    <s v="False"/>
    <n v="0"/>
    <n v="680.96"/>
    <n v="680.96"/>
    <s v="Cartão"/>
    <s v="CartÃ£o"/>
    <x v="2"/>
    <s v="Devolvido"/>
    <n v="2"/>
    <n v="4"/>
    <n v="81.72"/>
    <n v="0"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EA207B-C22F-4AC3-B02A-F76E1D19DFA2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hopping">
  <location ref="F11:G15" firstHeaderRow="1" firstDataRow="1" firstDataCol="1" rowPageCount="2" colPageCount="1"/>
  <pivotFields count="31">
    <pivotField numFmtId="1" showAll="0"/>
    <pivotField numFmtId="14" showAll="0"/>
    <pivotField numFmtId="1" showAll="0"/>
    <pivotField showAll="0" sortType="descending">
      <items count="31">
        <item x="13"/>
        <item x="18"/>
        <item x="15"/>
        <item x="10"/>
        <item x="16"/>
        <item x="3"/>
        <item x="1"/>
        <item x="19"/>
        <item x="17"/>
        <item x="27"/>
        <item x="25"/>
        <item x="9"/>
        <item x="20"/>
        <item x="29"/>
        <item x="23"/>
        <item x="5"/>
        <item x="12"/>
        <item x="6"/>
        <item x="14"/>
        <item x="7"/>
        <item x="4"/>
        <item x="28"/>
        <item x="8"/>
        <item x="22"/>
        <item x="2"/>
        <item x="11"/>
        <item x="24"/>
        <item x="26"/>
        <item x="2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" showAll="0"/>
    <pivotField showAll="0"/>
    <pivotField showAll="0">
      <items count="9">
        <item x="7"/>
        <item h="1" x="1"/>
        <item h="1" x="6"/>
        <item h="1" x="3"/>
        <item h="1" x="4"/>
        <item h="1" x="2"/>
        <item h="1" x="0"/>
        <item h="1" x="5"/>
        <item t="default"/>
      </items>
    </pivotField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" showAll="0"/>
    <pivotField numFmtId="44" showAll="0"/>
    <pivotField showAll="0"/>
    <pivotField numFmtId="44" showAll="0"/>
    <pivotField numFmtId="44" showAll="0"/>
    <pivotField dataField="1" numFmtId="44" showAll="0"/>
    <pivotField showAll="0"/>
    <pivotField showAll="0"/>
    <pivotField axis="axisPage" multipleItemSelectionAllowed="1" showAll="0">
      <items count="4">
        <item h="1" x="2"/>
        <item x="1"/>
        <item x="0"/>
        <item t="default"/>
      </items>
    </pivotField>
    <pivotField showAll="0"/>
    <pivotField numFmtId="1" showAll="0"/>
    <pivotField numFmtId="1" showAll="0"/>
    <pivotField numFmtId="44" showAll="0"/>
    <pivotField numFmtId="44" showAll="0"/>
    <pivotField axis="axisPage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pageFields count="2">
    <pageField fld="29" item="2" hier="-1"/>
    <pageField fld="23" hier="-1"/>
  </pageFields>
  <dataFields count="1">
    <dataField name="Total Vendas" fld="20" baseField="3" baseItem="4" numFmtId="44"/>
  </dataFields>
  <formats count="4">
    <format dxfId="3">
      <pivotArea field="3" type="button" dataOnly="0" labelOnly="1" outline="0"/>
    </format>
    <format dxfId="2">
      <pivotArea field="29" type="button" dataOnly="0" labelOnly="1" outline="0" axis="axisPage" fieldPosition="0"/>
    </format>
    <format dxfId="1">
      <pivotArea field="23" type="button" dataOnly="0" labelOnly="1" outline="0" axis="axisPage" fieldPosition="1"/>
    </format>
    <format dxfId="0">
      <pivotArea dataOnly="0" labelOnly="1" outline="0" axis="axisValues" fieldPosition="0"/>
    </format>
  </formats>
  <pivotTableStyleInfo name="PivotStyleLight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AFE025-EF09-4CE5-B2ED-1A08FF032D6B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hopping">
  <location ref="C11:D18" firstHeaderRow="1" firstDataRow="1" firstDataCol="1" rowPageCount="2" colPageCount="1"/>
  <pivotFields count="31">
    <pivotField numFmtId="1" showAll="0"/>
    <pivotField numFmtId="14" showAll="0"/>
    <pivotField numFmtId="1" showAll="0"/>
    <pivotField axis="axisRow" showAll="0" sortType="descending">
      <items count="31">
        <item x="13"/>
        <item x="18"/>
        <item x="15"/>
        <item x="10"/>
        <item x="16"/>
        <item x="3"/>
        <item x="1"/>
        <item x="19"/>
        <item x="17"/>
        <item x="27"/>
        <item x="25"/>
        <item x="9"/>
        <item x="20"/>
        <item x="29"/>
        <item x="23"/>
        <item x="5"/>
        <item x="12"/>
        <item x="6"/>
        <item x="14"/>
        <item x="7"/>
        <item x="4"/>
        <item x="28"/>
        <item x="8"/>
        <item x="22"/>
        <item x="2"/>
        <item x="11"/>
        <item x="24"/>
        <item x="26"/>
        <item x="2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" showAll="0"/>
    <pivotField showAll="0"/>
    <pivotField showAll="0">
      <items count="9">
        <item x="7"/>
        <item h="1" x="1"/>
        <item h="1" x="6"/>
        <item h="1" x="3"/>
        <item h="1" x="4"/>
        <item h="1" x="2"/>
        <item h="1" x="0"/>
        <item h="1" x="5"/>
        <item t="default"/>
      </items>
    </pivotField>
    <pivotField showAll="0"/>
    <pivotField showAll="0"/>
    <pivotField showAll="0"/>
    <pivotField showAll="0"/>
    <pivotField numFmtId="1" showAll="0"/>
    <pivotField numFmtId="44" showAll="0"/>
    <pivotField showAll="0"/>
    <pivotField numFmtId="44" showAll="0"/>
    <pivotField numFmtId="44" showAll="0"/>
    <pivotField dataField="1" numFmtId="44" showAll="0"/>
    <pivotField showAll="0"/>
    <pivotField showAll="0"/>
    <pivotField axis="axisPage" multipleItemSelectionAllowed="1" showAll="0">
      <items count="4">
        <item h="1" x="2"/>
        <item x="1"/>
        <item x="0"/>
        <item t="default"/>
      </items>
    </pivotField>
    <pivotField showAll="0"/>
    <pivotField numFmtId="1" showAll="0"/>
    <pivotField numFmtId="1" showAll="0"/>
    <pivotField numFmtId="44" showAll="0"/>
    <pivotField numFmtId="44" showAll="0"/>
    <pivotField axis="axisPage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3"/>
  </rowFields>
  <rowItems count="7">
    <i>
      <x v="20"/>
    </i>
    <i>
      <x v="15"/>
    </i>
    <i>
      <x v="11"/>
    </i>
    <i>
      <x v="24"/>
    </i>
    <i>
      <x v="17"/>
    </i>
    <i>
      <x v="29"/>
    </i>
    <i t="grand">
      <x/>
    </i>
  </rowItems>
  <colItems count="1">
    <i/>
  </colItems>
  <pageFields count="2">
    <pageField fld="29" item="2" hier="-1"/>
    <pageField fld="23" hier="-1"/>
  </pageFields>
  <dataFields count="1">
    <dataField name="Total Vendas" fld="20" baseField="3" baseItem="4" numFmtId="44"/>
  </dataFields>
  <formats count="4">
    <format dxfId="7">
      <pivotArea field="3" type="button" dataOnly="0" labelOnly="1" outline="0" axis="axisRow" fieldPosition="0"/>
    </format>
    <format dxfId="6">
      <pivotArea field="29" type="button" dataOnly="0" labelOnly="1" outline="0" axis="axisPage" fieldPosition="0"/>
    </format>
    <format dxfId="5">
      <pivotArea field="23" type="button" dataOnly="0" labelOnly="1" outline="0" axis="axisPage" fieldPosition="1"/>
    </format>
    <format dxfId="4">
      <pivotArea dataOnly="0" labelOnly="1" outline="0" axis="axisValues" fieldPosition="0"/>
    </format>
  </formats>
  <pivotTableStyleInfo name="PivotStyleLight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e" xr10:uid="{27723145-D247-46EA-8415-876F03EAEEF1}" sourceName="state">
  <pivotTables>
    <pivotTable tabId="3" name="Tabela dinâmica1"/>
    <pivotTable tabId="3" name="Tabela dinâmica4"/>
  </pivotTables>
  <data>
    <tabular pivotCacheId="2094807472">
      <items count="3">
        <i x="1"/>
        <i x="2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heme" xr10:uid="{0AF7EA13-6D58-41FA-8A09-58D405125472}" sourceName="theme">
  <pivotTables>
    <pivotTable tabId="3" name="Tabela dinâmica1"/>
    <pivotTable tabId="3" name="Tabela dinâmica4"/>
  </pivotTables>
  <data>
    <tabular pivotCacheId="2094807472">
      <items count="8">
        <i x="7" s="1"/>
        <i x="1"/>
        <i x="6"/>
        <i x="3"/>
        <i x="4"/>
        <i x="2"/>
        <i x="0"/>
        <i x="5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e" xr10:uid="{F7A05B51-A56A-45D3-875F-67A78FFE1765}" cache="SegmentaçãodeDados_state" caption="state" columnCount="3" style="SlicerStyleDark1" rowHeight="247650"/>
  <slicer name="theme" xr10:uid="{FD75AFDB-A95E-4B31-ADA6-5293D554F004}" cache="SegmentaçãodeDados_theme" caption="theme" style="SlicerStyleDark1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3384785-A06D-485D-B393-396130DDA15F}" name="tbl_malls_sales" displayName="tbl_malls_sales" ref="A1:AE301" totalsRowShown="0" dataDxfId="39">
  <autoFilter ref="A1:AE301" xr:uid="{F559B704-ACFC-4599-A01B-CE5E6240E483}"/>
  <tableColumns count="31">
    <tableColumn id="1" xr3:uid="{661233FB-58B5-4F90-8806-9CC271106798}" name="sale_id" dataDxfId="38"/>
    <tableColumn id="2" xr3:uid="{379AE07C-5B9E-4E1B-98B3-7B5D785F15DB}" name="date" dataDxfId="37"/>
    <tableColumn id="3" xr3:uid="{8F42FE66-D95A-46D1-9B11-9386C3F4764C}" name="store_id" dataDxfId="36"/>
    <tableColumn id="4" xr3:uid="{4C554F4B-ACF2-4F3C-9C22-4FDF4A2DB97B}" name="story_name_nomarlize" dataDxfId="35"/>
    <tableColumn id="5" xr3:uid="{8320236B-2C7D-436E-AEF8-FE9D049E8745}" name="store_name" dataDxfId="34"/>
    <tableColumn id="6" xr3:uid="{5930A493-15D2-411F-AE98-F0410E88EDF5}" name="region" dataDxfId="33"/>
    <tableColumn id="7" xr3:uid="{80EA0A44-F8B8-48C5-B6A9-AA4072FFA5BF}" name="channel_normalize" dataDxfId="32"/>
    <tableColumn id="8" xr3:uid="{2192F0AA-F053-49E5-8333-DFA90EFC532D}" name="channel" dataDxfId="31"/>
    <tableColumn id="9" xr3:uid="{948B8C7D-738C-4146-9E74-7DC7AF032104}" name="product_id" dataDxfId="30"/>
    <tableColumn id="10" xr3:uid="{755636DC-C07E-4EF2-87C5-0BE87A6F9026}" name="product_name" dataDxfId="29"/>
    <tableColumn id="11" xr3:uid="{D14C7487-D8DD-4046-A88B-6320210FB1D6}" name="theme" dataDxfId="28"/>
    <tableColumn id="12" xr3:uid="{A5DF6EE7-4DCD-4100-8C23-48238B818122}" name="category" dataDxfId="27"/>
    <tableColumn id="13" xr3:uid="{8ABDB125-965E-4126-A127-848D094EA3AD}" name="collection_year" dataDxfId="26"/>
    <tableColumn id="14" xr3:uid="{AECF7025-C516-482F-B64D-06814B99184C}" name="size" dataDxfId="25"/>
    <tableColumn id="15" xr3:uid="{164AF78C-D4DF-4A64-8C4C-2C387651D6DA}" name="colorway" dataDxfId="24"/>
    <tableColumn id="16" xr3:uid="{AEEC4B85-79D8-41C9-A598-6214E09D91E8}" name="units_sold" dataDxfId="23"/>
    <tableColumn id="17" xr3:uid="{5DAA88EF-1F05-493A-BA80-F06445E5B627}" name="unit_price" dataDxfId="22"/>
    <tableColumn id="18" xr3:uid="{D12595BD-CBA4-43B9-B986-8DEE6A1906E0}" name="discount_applied" dataDxfId="21"/>
    <tableColumn id="19" xr3:uid="{BC98EE45-2C54-48EE-9A64-EF24BF5A4D9A}" name="discount_value" dataDxfId="20"/>
    <tableColumn id="20" xr3:uid="{655E935A-211B-4DA8-A5B7-F56151EF71F3}" name="final_price" dataDxfId="19"/>
    <tableColumn id="21" xr3:uid="{48BF2F3C-2900-478F-841F-FAD7AE55CA46}" name="final_price_recalc" dataDxfId="18">
      <calculatedColumnFormula>Q2-S2</calculatedColumnFormula>
    </tableColumn>
    <tableColumn id="22" xr3:uid="{3417CDC0-73AC-4E6D-9F6E-B887DE684B18}" name="payment_method_normalize" dataDxfId="17"/>
    <tableColumn id="23" xr3:uid="{EBE8A28B-EEDB-4BBB-8D8E-E41677C833F6}" name="payment_method" dataDxfId="16"/>
    <tableColumn id="24" xr3:uid="{549EAA66-6984-4C3E-A51E-10F7C67A0230}" name="return_status_normlaize" dataDxfId="15"/>
    <tableColumn id="25" xr3:uid="{7C106801-32D2-44E7-8F5C-FCDF141C6CC8}" name="return_status" dataDxfId="14"/>
    <tableColumn id="26" xr3:uid="{896C7AE1-8B5B-4AA1-AB8A-1B043099FAAC}" name="delivery_time_days" dataDxfId="13"/>
    <tableColumn id="27" xr3:uid="{F9F29B7A-0FE6-438E-9971-B9A57C350FC9}" name="review_rating" dataDxfId="12"/>
    <tableColumn id="28" xr3:uid="{D9C849FC-EF41-48C4-8D89-9809FCD1029C}" name="tax_value" dataDxfId="11"/>
    <tableColumn id="29" xr3:uid="{A0389477-CA03-4D88-951D-B6EF0F262CA9}" name="extra_discount_value" dataDxfId="10"/>
    <tableColumn id="30" xr3:uid="{36BDF81B-CB1D-4078-93D2-30FEC33FD059}" name="state" dataDxfId="9"/>
    <tableColumn id="31" xr3:uid="{9D603713-9EC6-4A41-93C2-B9C6BB964684}" name="Coluna1" dataDxfId="8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BEDC08-75B7-4962-83A3-342149F0B86A}" name="tbl_story" displayName="tbl_story" ref="A1:B31" totalsRowShown="0">
  <autoFilter ref="A1:B31" xr:uid="{F7BEDC08-75B7-4962-83A3-342149F0B86A}"/>
  <tableColumns count="2">
    <tableColumn id="1" xr3:uid="{352330A9-A25A-4FF8-A2F6-15005C9DF0A0}" name="store_name"/>
    <tableColumn id="2" xr3:uid="{303C2E83-2624-4B7A-89E7-A1AAE69F3ADB}" name="story_name_normalizad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2CAA9B-BF50-4E71-A480-F66E32A2E06E}" name="Channel_normalize" displayName="Channel_normalize" ref="E1:F4" totalsRowShown="0">
  <autoFilter ref="E1:F4" xr:uid="{FF2CAA9B-BF50-4E71-A480-F66E32A2E06E}"/>
  <tableColumns count="2">
    <tableColumn id="1" xr3:uid="{D29EE831-A043-4B07-AB3E-B5437DBDE45E}" name="channel"/>
    <tableColumn id="2" xr3:uid="{60B94D58-3D94-46EE-BD46-BDA05AD5D88F}" name="channel_normaliz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923689-DFBB-4985-A6C8-BEB9A5AF0C3B}" name="pay_normalize" displayName="pay_normalize" ref="H1:I5" totalsRowShown="0">
  <autoFilter ref="H1:I5" xr:uid="{2E923689-DFBB-4985-A6C8-BEB9A5AF0C3B}"/>
  <tableColumns count="2">
    <tableColumn id="1" xr3:uid="{AA272042-DC98-4998-B5C6-297EAA33932F}" name="payment_method"/>
    <tableColumn id="2" xr3:uid="{37CE9824-CA87-4E92-9E51-2BEED71AC262}" name="pay_normaliz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DCC291F-C214-47BD-AF4D-4F57FF6A5C5E}" name="status_normalize" displayName="status_normalize" ref="K1:L4" totalsRowShown="0">
  <autoFilter ref="K1:L4" xr:uid="{CDCC291F-C214-47BD-AF4D-4F57FF6A5C5E}"/>
  <tableColumns count="2">
    <tableColumn id="1" xr3:uid="{5803CAE1-DA6B-471B-B478-93AF46FBBE4B}" name="return_status"/>
    <tableColumn id="2" xr3:uid="{E2A3752C-DCBE-4A44-8238-9965AC2CC65F}" name="status_normalize">
      <calculatedColumnFormula>K2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9B704-ACFC-4599-A01B-CE5E6240E483}">
  <sheetPr>
    <tabColor theme="9" tint="-0.499984740745262"/>
  </sheetPr>
  <dimension ref="A1:AE301"/>
  <sheetViews>
    <sheetView workbookViewId="0"/>
  </sheetViews>
  <sheetFormatPr defaultRowHeight="14.4" x14ac:dyDescent="0.3"/>
  <cols>
    <col min="1" max="1" width="8.77734375" style="2" customWidth="1"/>
    <col min="2" max="2" width="11.6640625" customWidth="1"/>
    <col min="3" max="3" width="9.5546875" style="2" customWidth="1"/>
    <col min="4" max="4" width="37.88671875" style="2" customWidth="1"/>
    <col min="5" max="5" width="28.109375" bestFit="1" customWidth="1"/>
    <col min="6" max="6" width="12.88671875" customWidth="1"/>
    <col min="7" max="7" width="28.44140625" customWidth="1"/>
    <col min="8" max="8" width="14.5546875" customWidth="1"/>
    <col min="9" max="9" width="11.88671875" style="2" customWidth="1"/>
    <col min="10" max="10" width="24.33203125" bestFit="1" customWidth="1"/>
    <col min="11" max="11" width="15" customWidth="1"/>
    <col min="12" max="12" width="12" customWidth="1"/>
    <col min="13" max="13" width="15.5546875" customWidth="1"/>
    <col min="14" max="14" width="6.5546875" customWidth="1"/>
    <col min="15" max="15" width="11.88671875" bestFit="1" customWidth="1"/>
    <col min="16" max="16" width="11.33203125" style="2" customWidth="1"/>
    <col min="17" max="17" width="14.77734375" style="1" customWidth="1"/>
    <col min="18" max="18" width="17.33203125" customWidth="1"/>
    <col min="19" max="19" width="16.6640625" style="1" customWidth="1"/>
    <col min="20" max="20" width="27.5546875" style="1" bestFit="1" customWidth="1"/>
    <col min="21" max="21" width="27.5546875" style="1" customWidth="1"/>
    <col min="22" max="22" width="27.88671875" style="1" customWidth="1"/>
    <col min="23" max="23" width="17.44140625" customWidth="1"/>
    <col min="24" max="24" width="22.88671875" customWidth="1"/>
    <col min="25" max="25" width="14.6640625" customWidth="1"/>
    <col min="26" max="26" width="18.88671875" style="2" customWidth="1"/>
    <col min="27" max="27" width="13.88671875" style="2" customWidth="1"/>
    <col min="28" max="28" width="15.21875" style="1" customWidth="1"/>
    <col min="29" max="29" width="21.6640625" style="1" customWidth="1"/>
    <col min="30" max="30" width="12.21875" customWidth="1"/>
  </cols>
  <sheetData>
    <row r="1" spans="1:31" x14ac:dyDescent="0.3">
      <c r="A1" s="2" t="s">
        <v>0</v>
      </c>
      <c r="B1" t="s">
        <v>1</v>
      </c>
      <c r="C1" s="2" t="s">
        <v>2</v>
      </c>
      <c r="D1" s="2" t="s">
        <v>107</v>
      </c>
      <c r="E1" t="s">
        <v>3</v>
      </c>
      <c r="F1" t="s">
        <v>4</v>
      </c>
      <c r="G1" t="s">
        <v>108</v>
      </c>
      <c r="H1" t="s">
        <v>5</v>
      </c>
      <c r="I1" s="2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s="2" t="s">
        <v>13</v>
      </c>
      <c r="Q1" s="1" t="s">
        <v>14</v>
      </c>
      <c r="R1" t="s">
        <v>15</v>
      </c>
      <c r="S1" s="1" t="s">
        <v>16</v>
      </c>
      <c r="T1" s="1" t="s">
        <v>17</v>
      </c>
      <c r="U1" s="1" t="s">
        <v>118</v>
      </c>
      <c r="V1" s="1" t="s">
        <v>116</v>
      </c>
      <c r="W1" t="s">
        <v>18</v>
      </c>
      <c r="X1" t="s">
        <v>117</v>
      </c>
      <c r="Y1" t="s">
        <v>19</v>
      </c>
      <c r="Z1" s="2" t="s">
        <v>20</v>
      </c>
      <c r="AA1" s="2" t="s">
        <v>21</v>
      </c>
      <c r="AB1" s="1" t="s">
        <v>22</v>
      </c>
      <c r="AC1" s="1" t="s">
        <v>23</v>
      </c>
      <c r="AD1" t="s">
        <v>24</v>
      </c>
      <c r="AE1" t="s">
        <v>110</v>
      </c>
    </row>
    <row r="2" spans="1:31" x14ac:dyDescent="0.3">
      <c r="A2" s="2">
        <v>7425</v>
      </c>
      <c r="B2" s="3">
        <v>45645</v>
      </c>
      <c r="C2" s="2">
        <v>1006</v>
      </c>
      <c r="D2" s="2" t="s">
        <v>100</v>
      </c>
      <c r="E2" t="s">
        <v>25</v>
      </c>
      <c r="F2" t="s">
        <v>26</v>
      </c>
      <c r="G2" t="s">
        <v>27</v>
      </c>
      <c r="H2" t="s">
        <v>27</v>
      </c>
      <c r="I2" s="2">
        <v>2468</v>
      </c>
      <c r="J2" t="s">
        <v>28</v>
      </c>
      <c r="K2" t="s">
        <v>29</v>
      </c>
      <c r="L2" t="s">
        <v>30</v>
      </c>
      <c r="M2">
        <v>2024</v>
      </c>
      <c r="N2">
        <v>41</v>
      </c>
      <c r="O2" t="s">
        <v>31</v>
      </c>
      <c r="P2" s="2">
        <v>3</v>
      </c>
      <c r="Q2" s="1">
        <v>614.08000000000004</v>
      </c>
      <c r="R2" t="s">
        <v>32</v>
      </c>
      <c r="S2" s="1">
        <v>0</v>
      </c>
      <c r="T2" s="1">
        <v>614.08000000000004</v>
      </c>
      <c r="U2" s="1">
        <f>Q2-S2</f>
        <v>614.08000000000004</v>
      </c>
      <c r="V2" s="1" t="s">
        <v>112</v>
      </c>
      <c r="W2" t="s">
        <v>33</v>
      </c>
      <c r="X2" t="s">
        <v>34</v>
      </c>
      <c r="Y2" t="s">
        <v>34</v>
      </c>
      <c r="Z2" s="2">
        <v>12</v>
      </c>
      <c r="AA2" s="2">
        <v>2</v>
      </c>
      <c r="AB2" s="1">
        <v>73.69</v>
      </c>
      <c r="AC2" s="1">
        <v>0</v>
      </c>
      <c r="AD2" t="s">
        <v>35</v>
      </c>
    </row>
    <row r="3" spans="1:31" x14ac:dyDescent="0.3">
      <c r="A3" s="2">
        <v>7426</v>
      </c>
      <c r="B3" s="3">
        <v>45661</v>
      </c>
      <c r="C3" s="2">
        <v>1027</v>
      </c>
      <c r="D3" s="2" t="s">
        <v>36</v>
      </c>
      <c r="E3" t="s">
        <v>36</v>
      </c>
      <c r="F3" t="s">
        <v>37</v>
      </c>
      <c r="G3" t="s">
        <v>109</v>
      </c>
      <c r="H3" t="s">
        <v>38</v>
      </c>
      <c r="I3" s="2">
        <v>2335</v>
      </c>
      <c r="J3" t="s">
        <v>39</v>
      </c>
      <c r="K3" t="s">
        <v>40</v>
      </c>
      <c r="L3" t="s">
        <v>41</v>
      </c>
      <c r="M3">
        <v>2022</v>
      </c>
      <c r="N3">
        <v>37</v>
      </c>
      <c r="O3" t="s">
        <v>31</v>
      </c>
      <c r="P3" s="2">
        <v>3</v>
      </c>
      <c r="Q3" s="1">
        <v>563.94000000000005</v>
      </c>
      <c r="R3" t="s">
        <v>42</v>
      </c>
      <c r="S3" s="1">
        <v>56.39</v>
      </c>
      <c r="T3" s="1">
        <v>5.0755E+16</v>
      </c>
      <c r="U3" s="1">
        <f>Q3-S3</f>
        <v>507.55000000000007</v>
      </c>
      <c r="V3" s="1" t="s">
        <v>112</v>
      </c>
      <c r="W3" t="s">
        <v>33</v>
      </c>
      <c r="X3" t="s">
        <v>115</v>
      </c>
      <c r="Y3" t="s">
        <v>43</v>
      </c>
      <c r="Z3" s="2">
        <v>13</v>
      </c>
      <c r="AA3" s="2">
        <v>4</v>
      </c>
      <c r="AB3" s="1">
        <v>67.67</v>
      </c>
      <c r="AC3" s="1">
        <v>28.2</v>
      </c>
      <c r="AD3" t="s">
        <v>35</v>
      </c>
    </row>
    <row r="4" spans="1:31" x14ac:dyDescent="0.3">
      <c r="A4" s="2">
        <v>7427</v>
      </c>
      <c r="B4" s="3">
        <v>45467</v>
      </c>
      <c r="C4" s="2">
        <v>1056</v>
      </c>
      <c r="D4" s="2" t="s">
        <v>101</v>
      </c>
      <c r="E4" t="s">
        <v>44</v>
      </c>
      <c r="F4" t="s">
        <v>45</v>
      </c>
      <c r="G4" t="s">
        <v>109</v>
      </c>
      <c r="H4" t="s">
        <v>38</v>
      </c>
      <c r="I4" s="2">
        <v>2211</v>
      </c>
      <c r="J4" t="s">
        <v>46</v>
      </c>
      <c r="K4" t="s">
        <v>47</v>
      </c>
      <c r="L4" t="s">
        <v>30</v>
      </c>
      <c r="M4">
        <v>2024</v>
      </c>
      <c r="N4">
        <v>38</v>
      </c>
      <c r="O4" t="s">
        <v>48</v>
      </c>
      <c r="P4" s="2">
        <v>2</v>
      </c>
      <c r="Q4" s="1">
        <v>756.3</v>
      </c>
      <c r="R4" t="s">
        <v>42</v>
      </c>
      <c r="S4" s="1">
        <v>75.63</v>
      </c>
      <c r="T4" s="1">
        <v>680.67</v>
      </c>
      <c r="U4" s="1">
        <f t="shared" ref="U4:U67" si="0">Q4-S4</f>
        <v>680.67</v>
      </c>
      <c r="V4" s="1" t="s">
        <v>49</v>
      </c>
      <c r="W4" t="s">
        <v>49</v>
      </c>
      <c r="X4" t="s">
        <v>50</v>
      </c>
      <c r="Y4" t="s">
        <v>50</v>
      </c>
      <c r="Z4" s="2">
        <v>6</v>
      </c>
      <c r="AA4" s="2">
        <v>1</v>
      </c>
      <c r="AB4" s="1">
        <v>90.76</v>
      </c>
      <c r="AC4" s="1">
        <v>37.81</v>
      </c>
      <c r="AD4" t="s">
        <v>35</v>
      </c>
      <c r="AE4" t="s">
        <v>119</v>
      </c>
    </row>
    <row r="5" spans="1:31" x14ac:dyDescent="0.3">
      <c r="A5" s="2">
        <v>7428</v>
      </c>
      <c r="B5" s="3">
        <v>45449</v>
      </c>
      <c r="C5" s="2">
        <v>1050</v>
      </c>
      <c r="D5" s="2" t="s">
        <v>101</v>
      </c>
      <c r="E5" t="s">
        <v>44</v>
      </c>
      <c r="F5" t="s">
        <v>37</v>
      </c>
      <c r="G5" t="s">
        <v>27</v>
      </c>
      <c r="H5" t="s">
        <v>27</v>
      </c>
      <c r="I5" s="2">
        <v>2840</v>
      </c>
      <c r="J5" t="s">
        <v>51</v>
      </c>
      <c r="K5" t="s">
        <v>52</v>
      </c>
      <c r="L5" t="s">
        <v>41</v>
      </c>
      <c r="M5">
        <v>2023</v>
      </c>
      <c r="N5">
        <v>41</v>
      </c>
      <c r="O5" t="s">
        <v>48</v>
      </c>
      <c r="P5" s="2">
        <v>2</v>
      </c>
      <c r="Q5" s="1">
        <v>535.65</v>
      </c>
      <c r="R5" t="s">
        <v>32</v>
      </c>
      <c r="S5" s="1">
        <v>0</v>
      </c>
      <c r="T5" s="1">
        <v>535.65</v>
      </c>
      <c r="U5" s="1">
        <f t="shared" si="0"/>
        <v>535.65</v>
      </c>
      <c r="V5" s="1" t="s">
        <v>53</v>
      </c>
      <c r="W5" t="s">
        <v>53</v>
      </c>
      <c r="X5" t="s">
        <v>115</v>
      </c>
      <c r="Y5" t="s">
        <v>43</v>
      </c>
      <c r="Z5" s="2">
        <v>15</v>
      </c>
      <c r="AA5" s="2">
        <v>5</v>
      </c>
      <c r="AB5" s="1">
        <v>64.28</v>
      </c>
      <c r="AC5" s="1">
        <v>0</v>
      </c>
      <c r="AD5" t="s">
        <v>35</v>
      </c>
    </row>
    <row r="6" spans="1:31" x14ac:dyDescent="0.3">
      <c r="A6" s="2">
        <v>7429</v>
      </c>
      <c r="B6" s="3">
        <v>45477</v>
      </c>
      <c r="C6" s="2">
        <v>1025</v>
      </c>
      <c r="D6" s="2" t="s">
        <v>102</v>
      </c>
      <c r="E6" t="s">
        <v>54</v>
      </c>
      <c r="F6" t="s">
        <v>37</v>
      </c>
      <c r="G6" t="s">
        <v>55</v>
      </c>
      <c r="H6" t="s">
        <v>55</v>
      </c>
      <c r="I6" s="2">
        <v>2969</v>
      </c>
      <c r="J6" t="s">
        <v>46</v>
      </c>
      <c r="K6" t="s">
        <v>47</v>
      </c>
      <c r="L6" t="s">
        <v>30</v>
      </c>
      <c r="M6">
        <v>2024</v>
      </c>
      <c r="N6">
        <v>42</v>
      </c>
      <c r="O6" t="s">
        <v>56</v>
      </c>
      <c r="P6" s="2">
        <v>4</v>
      </c>
      <c r="Q6" s="1">
        <v>711.58</v>
      </c>
      <c r="R6" t="s">
        <v>32</v>
      </c>
      <c r="S6" s="1">
        <v>0</v>
      </c>
      <c r="T6" s="1">
        <v>711.58</v>
      </c>
      <c r="U6" s="1">
        <f t="shared" si="0"/>
        <v>711.58</v>
      </c>
      <c r="V6" s="1" t="s">
        <v>113</v>
      </c>
      <c r="W6" t="s">
        <v>57</v>
      </c>
      <c r="X6" t="s">
        <v>115</v>
      </c>
      <c r="Y6" t="s">
        <v>43</v>
      </c>
      <c r="Z6" s="2">
        <v>10</v>
      </c>
      <c r="AA6" s="2">
        <v>5</v>
      </c>
      <c r="AB6" s="1">
        <v>85.39</v>
      </c>
      <c r="AC6" s="1">
        <v>0</v>
      </c>
      <c r="AD6" t="s">
        <v>58</v>
      </c>
    </row>
    <row r="7" spans="1:31" x14ac:dyDescent="0.3">
      <c r="A7" s="2">
        <v>7430</v>
      </c>
      <c r="B7" s="3">
        <v>45483</v>
      </c>
      <c r="C7" s="2">
        <v>1098</v>
      </c>
      <c r="D7" s="2" t="s">
        <v>59</v>
      </c>
      <c r="E7" t="s">
        <v>59</v>
      </c>
      <c r="F7" t="s">
        <v>60</v>
      </c>
      <c r="G7" t="s">
        <v>27</v>
      </c>
      <c r="H7" t="s">
        <v>27</v>
      </c>
      <c r="I7" s="2">
        <v>2807</v>
      </c>
      <c r="J7" t="s">
        <v>39</v>
      </c>
      <c r="K7" t="s">
        <v>40</v>
      </c>
      <c r="L7" t="s">
        <v>61</v>
      </c>
      <c r="M7">
        <v>2023</v>
      </c>
      <c r="N7">
        <v>42</v>
      </c>
      <c r="O7" t="s">
        <v>48</v>
      </c>
      <c r="P7" s="2">
        <v>1</v>
      </c>
      <c r="Q7" s="1">
        <v>479.47</v>
      </c>
      <c r="R7" t="s">
        <v>42</v>
      </c>
      <c r="S7" s="1">
        <v>47.95</v>
      </c>
      <c r="T7" s="1">
        <v>4.3152E+16</v>
      </c>
      <c r="U7" s="1">
        <f t="shared" si="0"/>
        <v>431.52000000000004</v>
      </c>
      <c r="V7" s="1" t="s">
        <v>113</v>
      </c>
      <c r="W7" t="s">
        <v>57</v>
      </c>
      <c r="X7" t="s">
        <v>50</v>
      </c>
      <c r="Y7" t="s">
        <v>50</v>
      </c>
      <c r="Z7" s="2">
        <v>10</v>
      </c>
      <c r="AA7" s="2">
        <v>5</v>
      </c>
      <c r="AB7" s="1">
        <v>57.54</v>
      </c>
      <c r="AC7" s="1">
        <v>23.97</v>
      </c>
      <c r="AD7" t="s">
        <v>58</v>
      </c>
    </row>
    <row r="8" spans="1:31" x14ac:dyDescent="0.3">
      <c r="A8" s="2">
        <v>7431</v>
      </c>
      <c r="B8" s="3">
        <v>45531</v>
      </c>
      <c r="C8" s="2">
        <v>1020</v>
      </c>
      <c r="D8" s="2" t="s">
        <v>62</v>
      </c>
      <c r="E8" t="s">
        <v>62</v>
      </c>
      <c r="F8" t="s">
        <v>45</v>
      </c>
      <c r="G8" t="s">
        <v>55</v>
      </c>
      <c r="H8" t="s">
        <v>55</v>
      </c>
      <c r="I8" s="2">
        <v>2597</v>
      </c>
      <c r="J8" t="s">
        <v>63</v>
      </c>
      <c r="K8" t="s">
        <v>64</v>
      </c>
      <c r="L8" t="s">
        <v>30</v>
      </c>
      <c r="M8">
        <v>2022</v>
      </c>
      <c r="N8">
        <v>42</v>
      </c>
      <c r="O8" t="s">
        <v>48</v>
      </c>
      <c r="P8" s="2">
        <v>4</v>
      </c>
      <c r="Q8" s="1">
        <v>404.64</v>
      </c>
      <c r="R8" t="s">
        <v>42</v>
      </c>
      <c r="S8" s="1">
        <v>40.46</v>
      </c>
      <c r="T8" s="1">
        <v>364.18</v>
      </c>
      <c r="U8" s="1">
        <f t="shared" si="0"/>
        <v>364.18</v>
      </c>
      <c r="V8" s="1" t="s">
        <v>112</v>
      </c>
      <c r="W8" t="s">
        <v>33</v>
      </c>
      <c r="X8" t="s">
        <v>34</v>
      </c>
      <c r="Y8" t="s">
        <v>34</v>
      </c>
      <c r="Z8" s="2">
        <v>5</v>
      </c>
      <c r="AA8" s="2">
        <v>5</v>
      </c>
      <c r="AB8" s="1">
        <v>48.56</v>
      </c>
      <c r="AC8" s="1">
        <v>20.23</v>
      </c>
      <c r="AD8" t="s">
        <v>58</v>
      </c>
    </row>
    <row r="9" spans="1:31" x14ac:dyDescent="0.3">
      <c r="A9" s="2">
        <v>7432</v>
      </c>
      <c r="B9" s="3">
        <v>45702</v>
      </c>
      <c r="C9" s="2">
        <v>1086</v>
      </c>
      <c r="D9" s="2" t="s">
        <v>65</v>
      </c>
      <c r="E9" t="s">
        <v>65</v>
      </c>
      <c r="F9" t="s">
        <v>45</v>
      </c>
      <c r="G9" t="s">
        <v>55</v>
      </c>
      <c r="H9" t="s">
        <v>55</v>
      </c>
      <c r="I9" s="2">
        <v>2454</v>
      </c>
      <c r="J9" t="s">
        <v>63</v>
      </c>
      <c r="K9" t="s">
        <v>64</v>
      </c>
      <c r="L9" t="s">
        <v>30</v>
      </c>
      <c r="M9">
        <v>2022</v>
      </c>
      <c r="N9">
        <v>37</v>
      </c>
      <c r="O9" t="s">
        <v>66</v>
      </c>
      <c r="P9" s="2">
        <v>3</v>
      </c>
      <c r="Q9" s="1">
        <v>301.94</v>
      </c>
      <c r="R9" t="s">
        <v>32</v>
      </c>
      <c r="S9" s="1">
        <v>0</v>
      </c>
      <c r="T9" s="1">
        <v>301.94</v>
      </c>
      <c r="U9" s="1">
        <f t="shared" si="0"/>
        <v>301.94</v>
      </c>
      <c r="V9" s="1" t="s">
        <v>53</v>
      </c>
      <c r="W9" t="s">
        <v>53</v>
      </c>
      <c r="X9" t="s">
        <v>50</v>
      </c>
      <c r="Y9" t="s">
        <v>50</v>
      </c>
      <c r="Z9" s="2">
        <v>15</v>
      </c>
      <c r="AA9" s="2">
        <v>3</v>
      </c>
      <c r="AB9" s="1">
        <v>36.229999999999997</v>
      </c>
      <c r="AC9" s="1">
        <v>0</v>
      </c>
      <c r="AD9" t="s">
        <v>35</v>
      </c>
    </row>
    <row r="10" spans="1:31" x14ac:dyDescent="0.3">
      <c r="A10" s="2">
        <v>7433</v>
      </c>
      <c r="B10" s="3">
        <v>45581</v>
      </c>
      <c r="C10" s="2">
        <v>1096</v>
      </c>
      <c r="D10" s="2" t="s">
        <v>101</v>
      </c>
      <c r="E10" t="s">
        <v>44</v>
      </c>
      <c r="F10" t="s">
        <v>60</v>
      </c>
      <c r="G10" t="s">
        <v>109</v>
      </c>
      <c r="H10" t="s">
        <v>38</v>
      </c>
      <c r="I10" s="2">
        <v>2028</v>
      </c>
      <c r="J10" t="s">
        <v>28</v>
      </c>
      <c r="K10" t="s">
        <v>29</v>
      </c>
      <c r="L10" t="s">
        <v>30</v>
      </c>
      <c r="M10">
        <v>2024</v>
      </c>
      <c r="N10">
        <v>39</v>
      </c>
      <c r="O10" t="s">
        <v>48</v>
      </c>
      <c r="P10" s="2">
        <v>4</v>
      </c>
      <c r="Q10" s="1">
        <v>660.62</v>
      </c>
      <c r="R10" t="s">
        <v>32</v>
      </c>
      <c r="S10" s="1">
        <v>0</v>
      </c>
      <c r="T10" s="1">
        <v>660.62</v>
      </c>
      <c r="U10" s="1">
        <f t="shared" si="0"/>
        <v>660.62</v>
      </c>
      <c r="V10" s="1" t="s">
        <v>49</v>
      </c>
      <c r="W10" t="s">
        <v>49</v>
      </c>
      <c r="X10" t="s">
        <v>115</v>
      </c>
      <c r="Y10" t="s">
        <v>43</v>
      </c>
      <c r="Z10" s="2">
        <v>13</v>
      </c>
      <c r="AA10" s="2">
        <v>3</v>
      </c>
      <c r="AB10" s="1">
        <v>79.27</v>
      </c>
      <c r="AC10" s="1">
        <v>0</v>
      </c>
      <c r="AD10" t="s">
        <v>35</v>
      </c>
    </row>
    <row r="11" spans="1:31" x14ac:dyDescent="0.3">
      <c r="A11" s="2">
        <v>7434</v>
      </c>
      <c r="B11" s="3">
        <v>45445</v>
      </c>
      <c r="C11" s="2">
        <v>1069</v>
      </c>
      <c r="D11" s="2" t="s">
        <v>100</v>
      </c>
      <c r="E11" t="s">
        <v>25</v>
      </c>
      <c r="F11" t="s">
        <v>37</v>
      </c>
      <c r="G11" t="s">
        <v>109</v>
      </c>
      <c r="H11" t="s">
        <v>38</v>
      </c>
      <c r="I11" s="2">
        <v>2064</v>
      </c>
      <c r="J11" t="s">
        <v>39</v>
      </c>
      <c r="K11" t="s">
        <v>40</v>
      </c>
      <c r="L11" t="s">
        <v>30</v>
      </c>
      <c r="M11">
        <v>2024</v>
      </c>
      <c r="N11">
        <v>40</v>
      </c>
      <c r="O11" t="s">
        <v>56</v>
      </c>
      <c r="P11" s="2">
        <v>2</v>
      </c>
      <c r="Q11" s="1">
        <v>333.07</v>
      </c>
      <c r="R11" t="s">
        <v>32</v>
      </c>
      <c r="S11" s="1">
        <v>0</v>
      </c>
      <c r="T11" s="1">
        <v>333.07</v>
      </c>
      <c r="U11" s="1">
        <f t="shared" si="0"/>
        <v>333.07</v>
      </c>
      <c r="V11" s="1" t="s">
        <v>49</v>
      </c>
      <c r="W11" t="s">
        <v>49</v>
      </c>
      <c r="X11" t="s">
        <v>50</v>
      </c>
      <c r="Y11" t="s">
        <v>50</v>
      </c>
      <c r="Z11" s="2">
        <v>11</v>
      </c>
      <c r="AA11" s="2">
        <v>4</v>
      </c>
      <c r="AB11" s="1">
        <v>39.97</v>
      </c>
      <c r="AC11" s="1">
        <v>0</v>
      </c>
      <c r="AD11" t="s">
        <v>58</v>
      </c>
    </row>
    <row r="12" spans="1:31" x14ac:dyDescent="0.3">
      <c r="A12" s="2">
        <v>7435</v>
      </c>
      <c r="B12" s="3">
        <v>45530</v>
      </c>
      <c r="C12" s="2">
        <v>1008</v>
      </c>
      <c r="D12" s="2" t="s">
        <v>67</v>
      </c>
      <c r="E12" t="s">
        <v>67</v>
      </c>
      <c r="F12" t="s">
        <v>45</v>
      </c>
      <c r="G12" t="s">
        <v>109</v>
      </c>
      <c r="H12" t="s">
        <v>38</v>
      </c>
      <c r="I12" s="2">
        <v>2763</v>
      </c>
      <c r="J12" t="s">
        <v>63</v>
      </c>
      <c r="K12" t="s">
        <v>68</v>
      </c>
      <c r="L12" t="s">
        <v>41</v>
      </c>
      <c r="M12">
        <v>2024</v>
      </c>
      <c r="N12">
        <v>37</v>
      </c>
      <c r="O12" t="s">
        <v>66</v>
      </c>
      <c r="P12" s="2">
        <v>1</v>
      </c>
      <c r="Q12" s="1">
        <v>785.06</v>
      </c>
      <c r="R12" t="s">
        <v>42</v>
      </c>
      <c r="S12" s="1">
        <v>78.510000000000005</v>
      </c>
      <c r="T12" s="1">
        <v>706.55</v>
      </c>
      <c r="U12" s="1">
        <f t="shared" si="0"/>
        <v>706.55</v>
      </c>
      <c r="V12" s="1" t="s">
        <v>113</v>
      </c>
      <c r="W12" t="s">
        <v>57</v>
      </c>
      <c r="X12" t="s">
        <v>115</v>
      </c>
      <c r="Y12" t="s">
        <v>43</v>
      </c>
      <c r="Z12" s="2">
        <v>13</v>
      </c>
      <c r="AA12" s="2">
        <v>1</v>
      </c>
      <c r="AB12" s="1">
        <v>94.21</v>
      </c>
      <c r="AC12" s="1">
        <v>39.25</v>
      </c>
      <c r="AD12" t="s">
        <v>69</v>
      </c>
    </row>
    <row r="13" spans="1:31" x14ac:dyDescent="0.3">
      <c r="A13" s="2">
        <v>7436</v>
      </c>
      <c r="B13" s="3">
        <v>45548</v>
      </c>
      <c r="C13" s="2">
        <v>1076</v>
      </c>
      <c r="D13" s="2" t="s">
        <v>70</v>
      </c>
      <c r="E13" t="s">
        <v>70</v>
      </c>
      <c r="F13" t="s">
        <v>37</v>
      </c>
      <c r="G13" t="s">
        <v>27</v>
      </c>
      <c r="H13" t="s">
        <v>27</v>
      </c>
      <c r="I13" s="2">
        <v>2453</v>
      </c>
      <c r="J13" t="s">
        <v>71</v>
      </c>
      <c r="K13" t="s">
        <v>72</v>
      </c>
      <c r="L13" t="s">
        <v>41</v>
      </c>
      <c r="M13">
        <v>2023</v>
      </c>
      <c r="N13">
        <v>39</v>
      </c>
      <c r="O13" t="s">
        <v>31</v>
      </c>
      <c r="P13" s="2">
        <v>4</v>
      </c>
      <c r="Q13" s="1">
        <v>696.78</v>
      </c>
      <c r="R13" t="s">
        <v>42</v>
      </c>
      <c r="S13" s="1">
        <v>69.680000000000007</v>
      </c>
      <c r="T13" s="1">
        <v>6270999999999990</v>
      </c>
      <c r="U13" s="1">
        <f t="shared" si="0"/>
        <v>627.09999999999991</v>
      </c>
      <c r="V13" s="1" t="s">
        <v>113</v>
      </c>
      <c r="W13" t="s">
        <v>57</v>
      </c>
      <c r="X13" t="s">
        <v>34</v>
      </c>
      <c r="Y13" t="s">
        <v>34</v>
      </c>
      <c r="Z13" s="2">
        <v>5</v>
      </c>
      <c r="AA13" s="2">
        <v>1</v>
      </c>
      <c r="AB13" s="1">
        <v>83.61</v>
      </c>
      <c r="AC13" s="1">
        <v>34.840000000000003</v>
      </c>
      <c r="AD13" t="s">
        <v>58</v>
      </c>
    </row>
    <row r="14" spans="1:31" x14ac:dyDescent="0.3">
      <c r="A14" s="2">
        <v>7437</v>
      </c>
      <c r="B14" s="3">
        <v>45649</v>
      </c>
      <c r="C14" s="2">
        <v>1027</v>
      </c>
      <c r="D14" s="2" t="s">
        <v>70</v>
      </c>
      <c r="E14" t="s">
        <v>70</v>
      </c>
      <c r="F14" t="s">
        <v>73</v>
      </c>
      <c r="G14" t="s">
        <v>55</v>
      </c>
      <c r="H14" t="s">
        <v>55</v>
      </c>
      <c r="I14" s="2">
        <v>2312</v>
      </c>
      <c r="J14" t="s">
        <v>28</v>
      </c>
      <c r="K14" t="s">
        <v>68</v>
      </c>
      <c r="L14" t="s">
        <v>30</v>
      </c>
      <c r="M14">
        <v>2022</v>
      </c>
      <c r="N14">
        <v>39</v>
      </c>
      <c r="O14" t="s">
        <v>48</v>
      </c>
      <c r="P14" s="2">
        <v>4</v>
      </c>
      <c r="Q14" s="1">
        <v>462.91</v>
      </c>
      <c r="R14" t="s">
        <v>32</v>
      </c>
      <c r="S14" s="1">
        <v>0</v>
      </c>
      <c r="T14" s="1">
        <v>462.91</v>
      </c>
      <c r="U14" s="1">
        <f t="shared" si="0"/>
        <v>462.91</v>
      </c>
      <c r="V14" s="1" t="s">
        <v>49</v>
      </c>
      <c r="W14" t="s">
        <v>49</v>
      </c>
      <c r="X14" t="s">
        <v>34</v>
      </c>
      <c r="Y14" t="s">
        <v>34</v>
      </c>
      <c r="Z14" s="2">
        <v>7</v>
      </c>
      <c r="AA14" s="2">
        <v>3</v>
      </c>
      <c r="AB14" s="1">
        <v>55.55</v>
      </c>
      <c r="AC14" s="1">
        <v>0</v>
      </c>
      <c r="AD14" t="s">
        <v>58</v>
      </c>
    </row>
    <row r="15" spans="1:31" x14ac:dyDescent="0.3">
      <c r="A15" s="2">
        <v>7438</v>
      </c>
      <c r="B15" s="3">
        <v>45702</v>
      </c>
      <c r="C15" s="2">
        <v>1058</v>
      </c>
      <c r="D15" s="2" t="s">
        <v>103</v>
      </c>
      <c r="E15" t="s">
        <v>74</v>
      </c>
      <c r="F15" t="s">
        <v>45</v>
      </c>
      <c r="G15" t="s">
        <v>109</v>
      </c>
      <c r="H15" t="s">
        <v>38</v>
      </c>
      <c r="I15" s="2">
        <v>2507</v>
      </c>
      <c r="J15" t="s">
        <v>51</v>
      </c>
      <c r="K15" t="s">
        <v>29</v>
      </c>
      <c r="L15" t="s">
        <v>41</v>
      </c>
      <c r="M15">
        <v>2022</v>
      </c>
      <c r="N15">
        <v>41</v>
      </c>
      <c r="O15" t="s">
        <v>75</v>
      </c>
      <c r="P15" s="2">
        <v>5</v>
      </c>
      <c r="Q15" s="1">
        <v>707.84</v>
      </c>
      <c r="R15" t="s">
        <v>42</v>
      </c>
      <c r="S15" s="1">
        <v>70.78</v>
      </c>
      <c r="T15" s="1">
        <v>6370600000000000</v>
      </c>
      <c r="U15" s="1">
        <f t="shared" si="0"/>
        <v>637.06000000000006</v>
      </c>
      <c r="V15" s="1" t="s">
        <v>49</v>
      </c>
      <c r="W15" t="s">
        <v>49</v>
      </c>
      <c r="X15" t="s">
        <v>50</v>
      </c>
      <c r="Y15" t="s">
        <v>50</v>
      </c>
      <c r="Z15" s="2">
        <v>14</v>
      </c>
      <c r="AA15" s="2">
        <v>2</v>
      </c>
      <c r="AB15" s="1">
        <v>84.94</v>
      </c>
      <c r="AC15" s="1">
        <v>35.39</v>
      </c>
      <c r="AD15" t="s">
        <v>35</v>
      </c>
    </row>
    <row r="16" spans="1:31" x14ac:dyDescent="0.3">
      <c r="A16" s="2">
        <v>7439</v>
      </c>
      <c r="B16" s="3">
        <v>45610</v>
      </c>
      <c r="C16" s="2">
        <v>1016</v>
      </c>
      <c r="D16" s="2" t="s">
        <v>104</v>
      </c>
      <c r="E16" t="s">
        <v>76</v>
      </c>
      <c r="F16" t="s">
        <v>37</v>
      </c>
      <c r="G16" t="s">
        <v>27</v>
      </c>
      <c r="H16" t="s">
        <v>27</v>
      </c>
      <c r="I16" s="2">
        <v>2268</v>
      </c>
      <c r="J16" t="s">
        <v>46</v>
      </c>
      <c r="K16" t="s">
        <v>29</v>
      </c>
      <c r="L16" t="s">
        <v>30</v>
      </c>
      <c r="M16">
        <v>2022</v>
      </c>
      <c r="N16">
        <v>41</v>
      </c>
      <c r="O16" t="s">
        <v>31</v>
      </c>
      <c r="P16" s="2">
        <v>3</v>
      </c>
      <c r="Q16" s="1">
        <v>466.13</v>
      </c>
      <c r="R16" t="s">
        <v>32</v>
      </c>
      <c r="S16" s="1">
        <v>0</v>
      </c>
      <c r="T16" s="1">
        <v>466.13</v>
      </c>
      <c r="U16" s="1">
        <f t="shared" si="0"/>
        <v>466.13</v>
      </c>
      <c r="V16" s="1" t="s">
        <v>53</v>
      </c>
      <c r="W16" t="s">
        <v>53</v>
      </c>
      <c r="X16" t="s">
        <v>50</v>
      </c>
      <c r="Y16" t="s">
        <v>50</v>
      </c>
      <c r="Z16" s="2">
        <v>13</v>
      </c>
      <c r="AA16" s="2">
        <v>2</v>
      </c>
      <c r="AB16" s="1">
        <v>55.94</v>
      </c>
      <c r="AC16" s="1">
        <v>0</v>
      </c>
      <c r="AD16" t="s">
        <v>69</v>
      </c>
    </row>
    <row r="17" spans="1:30" x14ac:dyDescent="0.3">
      <c r="A17" s="2">
        <v>7440</v>
      </c>
      <c r="B17" s="3">
        <v>45536</v>
      </c>
      <c r="C17" s="2">
        <v>1022</v>
      </c>
      <c r="D17" s="2" t="s">
        <v>77</v>
      </c>
      <c r="E17" t="s">
        <v>77</v>
      </c>
      <c r="F17" t="s">
        <v>37</v>
      </c>
      <c r="G17" t="s">
        <v>27</v>
      </c>
      <c r="H17" t="s">
        <v>27</v>
      </c>
      <c r="I17" s="2">
        <v>2338</v>
      </c>
      <c r="J17" t="s">
        <v>63</v>
      </c>
      <c r="K17" t="s">
        <v>52</v>
      </c>
      <c r="L17" t="s">
        <v>41</v>
      </c>
      <c r="M17">
        <v>2022</v>
      </c>
      <c r="N17">
        <v>38</v>
      </c>
      <c r="O17" t="s">
        <v>56</v>
      </c>
      <c r="P17" s="2">
        <v>2</v>
      </c>
      <c r="Q17" s="1">
        <v>328.37</v>
      </c>
      <c r="R17" t="s">
        <v>32</v>
      </c>
      <c r="S17" s="1">
        <v>0</v>
      </c>
      <c r="T17" s="1">
        <v>328.37</v>
      </c>
      <c r="U17" s="1">
        <f t="shared" si="0"/>
        <v>328.37</v>
      </c>
      <c r="V17" s="1" t="s">
        <v>53</v>
      </c>
      <c r="W17" t="s">
        <v>53</v>
      </c>
      <c r="X17" t="s">
        <v>50</v>
      </c>
      <c r="Y17" t="s">
        <v>50</v>
      </c>
      <c r="Z17" s="2">
        <v>7</v>
      </c>
      <c r="AA17" s="2">
        <v>4</v>
      </c>
      <c r="AB17" s="1">
        <v>39.4</v>
      </c>
      <c r="AC17" s="1">
        <v>0</v>
      </c>
      <c r="AD17" t="s">
        <v>69</v>
      </c>
    </row>
    <row r="18" spans="1:30" x14ac:dyDescent="0.3">
      <c r="A18" s="2">
        <v>7441</v>
      </c>
      <c r="B18" s="3">
        <v>45503</v>
      </c>
      <c r="C18" s="2">
        <v>1076</v>
      </c>
      <c r="D18" s="2" t="s">
        <v>101</v>
      </c>
      <c r="E18" t="s">
        <v>44</v>
      </c>
      <c r="F18" t="s">
        <v>60</v>
      </c>
      <c r="G18" t="s">
        <v>55</v>
      </c>
      <c r="H18" t="s">
        <v>55</v>
      </c>
      <c r="I18" s="2">
        <v>2579</v>
      </c>
      <c r="J18" t="s">
        <v>71</v>
      </c>
      <c r="K18" t="s">
        <v>78</v>
      </c>
      <c r="L18" t="s">
        <v>41</v>
      </c>
      <c r="M18">
        <v>2022</v>
      </c>
      <c r="N18">
        <v>39</v>
      </c>
      <c r="O18" t="s">
        <v>48</v>
      </c>
      <c r="P18" s="2">
        <v>5</v>
      </c>
      <c r="Q18" s="1">
        <v>454.35</v>
      </c>
      <c r="R18" t="s">
        <v>32</v>
      </c>
      <c r="S18" s="1">
        <v>0</v>
      </c>
      <c r="T18" s="1">
        <v>454.35</v>
      </c>
      <c r="U18" s="1">
        <f t="shared" si="0"/>
        <v>454.35</v>
      </c>
      <c r="V18" s="1" t="s">
        <v>112</v>
      </c>
      <c r="W18" t="s">
        <v>33</v>
      </c>
      <c r="X18" t="s">
        <v>50</v>
      </c>
      <c r="Y18" t="s">
        <v>50</v>
      </c>
      <c r="Z18" s="2">
        <v>4</v>
      </c>
      <c r="AA18" s="2">
        <v>1</v>
      </c>
      <c r="AB18" s="1">
        <v>54.52</v>
      </c>
      <c r="AC18" s="1">
        <v>0</v>
      </c>
      <c r="AD18" t="s">
        <v>35</v>
      </c>
    </row>
    <row r="19" spans="1:30" x14ac:dyDescent="0.3">
      <c r="A19" s="2">
        <v>7442</v>
      </c>
      <c r="B19" s="3">
        <v>45559</v>
      </c>
      <c r="C19" s="2">
        <v>1020</v>
      </c>
      <c r="D19" s="2" t="s">
        <v>79</v>
      </c>
      <c r="E19" t="s">
        <v>79</v>
      </c>
      <c r="F19" t="s">
        <v>60</v>
      </c>
      <c r="G19" t="s">
        <v>55</v>
      </c>
      <c r="H19" t="s">
        <v>55</v>
      </c>
      <c r="I19" s="2">
        <v>2007</v>
      </c>
      <c r="J19" t="s">
        <v>80</v>
      </c>
      <c r="K19" t="s">
        <v>40</v>
      </c>
      <c r="L19" t="s">
        <v>41</v>
      </c>
      <c r="M19">
        <v>2023</v>
      </c>
      <c r="N19">
        <v>40</v>
      </c>
      <c r="O19" t="s">
        <v>75</v>
      </c>
      <c r="P19" s="2">
        <v>3</v>
      </c>
      <c r="Q19" s="1">
        <v>424.33</v>
      </c>
      <c r="R19" t="s">
        <v>42</v>
      </c>
      <c r="S19" s="1">
        <v>42.43</v>
      </c>
      <c r="T19" s="1">
        <v>381.9</v>
      </c>
      <c r="U19" s="1">
        <f t="shared" si="0"/>
        <v>381.9</v>
      </c>
      <c r="V19" s="1" t="s">
        <v>49</v>
      </c>
      <c r="W19" t="s">
        <v>49</v>
      </c>
      <c r="X19" t="s">
        <v>115</v>
      </c>
      <c r="Y19" t="s">
        <v>43</v>
      </c>
      <c r="Z19" s="2">
        <v>8</v>
      </c>
      <c r="AA19" s="2">
        <v>1</v>
      </c>
      <c r="AB19" s="1">
        <v>50.92</v>
      </c>
      <c r="AC19" s="1">
        <v>21.22</v>
      </c>
      <c r="AD19" t="s">
        <v>58</v>
      </c>
    </row>
    <row r="20" spans="1:30" x14ac:dyDescent="0.3">
      <c r="A20" s="2">
        <v>7443</v>
      </c>
      <c r="B20" s="3">
        <v>45762</v>
      </c>
      <c r="C20" s="2">
        <v>1089</v>
      </c>
      <c r="D20" s="2" t="s">
        <v>105</v>
      </c>
      <c r="E20" t="s">
        <v>81</v>
      </c>
      <c r="F20" t="s">
        <v>45</v>
      </c>
      <c r="G20" t="s">
        <v>55</v>
      </c>
      <c r="H20" t="s">
        <v>55</v>
      </c>
      <c r="I20" s="2">
        <v>2412</v>
      </c>
      <c r="J20" t="s">
        <v>71</v>
      </c>
      <c r="K20" t="s">
        <v>29</v>
      </c>
      <c r="L20" t="s">
        <v>41</v>
      </c>
      <c r="M20">
        <v>2024</v>
      </c>
      <c r="N20">
        <v>37</v>
      </c>
      <c r="O20" t="s">
        <v>56</v>
      </c>
      <c r="P20" s="2">
        <v>3</v>
      </c>
      <c r="Q20" s="1">
        <v>517.19000000000005</v>
      </c>
      <c r="R20" t="s">
        <v>42</v>
      </c>
      <c r="S20" s="1">
        <v>51.72</v>
      </c>
      <c r="T20" s="1">
        <v>465.47</v>
      </c>
      <c r="U20" s="1">
        <f t="shared" si="0"/>
        <v>465.47</v>
      </c>
      <c r="V20" s="1" t="s">
        <v>113</v>
      </c>
      <c r="W20" t="s">
        <v>57</v>
      </c>
      <c r="X20" t="s">
        <v>34</v>
      </c>
      <c r="Y20" t="s">
        <v>34</v>
      </c>
      <c r="Z20" s="2">
        <v>15</v>
      </c>
      <c r="AA20" s="2">
        <v>3</v>
      </c>
      <c r="AB20" s="1">
        <v>62.06</v>
      </c>
      <c r="AC20" s="1">
        <v>25.86</v>
      </c>
      <c r="AD20" t="s">
        <v>69</v>
      </c>
    </row>
    <row r="21" spans="1:30" x14ac:dyDescent="0.3">
      <c r="A21" s="2">
        <v>7444</v>
      </c>
      <c r="B21" s="3">
        <v>45747</v>
      </c>
      <c r="C21" s="2">
        <v>1049</v>
      </c>
      <c r="D21" s="2" t="s">
        <v>82</v>
      </c>
      <c r="E21" t="s">
        <v>82</v>
      </c>
      <c r="F21" t="s">
        <v>60</v>
      </c>
      <c r="G21" t="s">
        <v>27</v>
      </c>
      <c r="H21" t="s">
        <v>27</v>
      </c>
      <c r="I21" s="2">
        <v>2425</v>
      </c>
      <c r="J21" t="s">
        <v>46</v>
      </c>
      <c r="K21" t="s">
        <v>40</v>
      </c>
      <c r="L21" t="s">
        <v>30</v>
      </c>
      <c r="M21">
        <v>2024</v>
      </c>
      <c r="N21">
        <v>40</v>
      </c>
      <c r="O21" t="s">
        <v>56</v>
      </c>
      <c r="P21" s="2">
        <v>2</v>
      </c>
      <c r="Q21" s="1">
        <v>447.91</v>
      </c>
      <c r="R21" t="s">
        <v>32</v>
      </c>
      <c r="S21" s="1">
        <v>0</v>
      </c>
      <c r="T21" s="1">
        <v>447.91</v>
      </c>
      <c r="U21" s="1">
        <f t="shared" si="0"/>
        <v>447.91</v>
      </c>
      <c r="V21" s="1" t="s">
        <v>113</v>
      </c>
      <c r="W21" t="s">
        <v>57</v>
      </c>
      <c r="X21" t="s">
        <v>50</v>
      </c>
      <c r="Y21" t="s">
        <v>50</v>
      </c>
      <c r="Z21" s="2">
        <v>5</v>
      </c>
      <c r="AA21" s="2">
        <v>5</v>
      </c>
      <c r="AB21" s="1">
        <v>53.75</v>
      </c>
      <c r="AC21" s="1">
        <v>0</v>
      </c>
      <c r="AD21" t="s">
        <v>69</v>
      </c>
    </row>
    <row r="22" spans="1:30" x14ac:dyDescent="0.3">
      <c r="A22" s="2">
        <v>7445</v>
      </c>
      <c r="B22" s="3">
        <v>45618</v>
      </c>
      <c r="C22" s="2">
        <v>1052</v>
      </c>
      <c r="D22" s="2" t="s">
        <v>83</v>
      </c>
      <c r="E22" t="s">
        <v>83</v>
      </c>
      <c r="F22" t="s">
        <v>45</v>
      </c>
      <c r="G22" t="s">
        <v>55</v>
      </c>
      <c r="H22" t="s">
        <v>55</v>
      </c>
      <c r="I22" s="2">
        <v>2961</v>
      </c>
      <c r="J22" t="s">
        <v>80</v>
      </c>
      <c r="K22" t="s">
        <v>68</v>
      </c>
      <c r="L22" t="s">
        <v>41</v>
      </c>
      <c r="M22">
        <v>2024</v>
      </c>
      <c r="N22">
        <v>41</v>
      </c>
      <c r="O22" t="s">
        <v>48</v>
      </c>
      <c r="P22" s="2">
        <v>1</v>
      </c>
      <c r="Q22" s="1">
        <v>774.5</v>
      </c>
      <c r="R22" t="s">
        <v>42</v>
      </c>
      <c r="S22" s="1">
        <v>77.45</v>
      </c>
      <c r="T22" s="1">
        <v>697.05</v>
      </c>
      <c r="U22" s="1">
        <f t="shared" si="0"/>
        <v>697.05</v>
      </c>
      <c r="V22" s="1" t="s">
        <v>53</v>
      </c>
      <c r="W22" t="s">
        <v>53</v>
      </c>
      <c r="X22" t="s">
        <v>50</v>
      </c>
      <c r="Y22" t="s">
        <v>50</v>
      </c>
      <c r="Z22" s="2">
        <v>15</v>
      </c>
      <c r="AA22" s="2">
        <v>2</v>
      </c>
      <c r="AB22" s="1">
        <v>92.94</v>
      </c>
      <c r="AC22" s="1">
        <v>38.729999999999997</v>
      </c>
      <c r="AD22" t="s">
        <v>58</v>
      </c>
    </row>
    <row r="23" spans="1:30" x14ac:dyDescent="0.3">
      <c r="A23" s="2">
        <v>7446</v>
      </c>
      <c r="B23" s="3">
        <v>45448</v>
      </c>
      <c r="C23" s="2">
        <v>1083</v>
      </c>
      <c r="D23" s="2" t="s">
        <v>77</v>
      </c>
      <c r="E23" t="s">
        <v>77</v>
      </c>
      <c r="F23" t="s">
        <v>73</v>
      </c>
      <c r="G23" t="s">
        <v>27</v>
      </c>
      <c r="H23" t="s">
        <v>27</v>
      </c>
      <c r="I23" s="2">
        <v>2116</v>
      </c>
      <c r="J23" t="s">
        <v>39</v>
      </c>
      <c r="K23" t="s">
        <v>40</v>
      </c>
      <c r="L23" t="s">
        <v>30</v>
      </c>
      <c r="M23">
        <v>2024</v>
      </c>
      <c r="N23">
        <v>42</v>
      </c>
      <c r="O23" t="s">
        <v>56</v>
      </c>
      <c r="P23" s="2">
        <v>4</v>
      </c>
      <c r="Q23" s="1">
        <v>303.08999999999997</v>
      </c>
      <c r="R23" t="s">
        <v>32</v>
      </c>
      <c r="S23" s="1">
        <v>0</v>
      </c>
      <c r="T23" s="1">
        <v>303.08999999999997</v>
      </c>
      <c r="U23" s="1">
        <f t="shared" si="0"/>
        <v>303.08999999999997</v>
      </c>
      <c r="V23" s="1" t="s">
        <v>53</v>
      </c>
      <c r="W23" t="s">
        <v>53</v>
      </c>
      <c r="X23" t="s">
        <v>34</v>
      </c>
      <c r="Y23" t="s">
        <v>34</v>
      </c>
      <c r="Z23" s="2">
        <v>4</v>
      </c>
      <c r="AA23" s="2">
        <v>5</v>
      </c>
      <c r="AB23" s="1">
        <v>36.369999999999997</v>
      </c>
      <c r="AC23" s="1">
        <v>0</v>
      </c>
      <c r="AD23" t="s">
        <v>69</v>
      </c>
    </row>
    <row r="24" spans="1:30" x14ac:dyDescent="0.3">
      <c r="A24" s="2">
        <v>7447</v>
      </c>
      <c r="B24" s="3">
        <v>45522</v>
      </c>
      <c r="C24" s="2">
        <v>1062</v>
      </c>
      <c r="D24" s="2" t="s">
        <v>84</v>
      </c>
      <c r="E24" t="s">
        <v>84</v>
      </c>
      <c r="F24" t="s">
        <v>73</v>
      </c>
      <c r="G24" t="s">
        <v>109</v>
      </c>
      <c r="H24" t="s">
        <v>38</v>
      </c>
      <c r="I24" s="2">
        <v>2504</v>
      </c>
      <c r="J24" t="s">
        <v>39</v>
      </c>
      <c r="K24" t="s">
        <v>68</v>
      </c>
      <c r="L24" t="s">
        <v>61</v>
      </c>
      <c r="M24">
        <v>2023</v>
      </c>
      <c r="N24">
        <v>42</v>
      </c>
      <c r="O24" t="s">
        <v>66</v>
      </c>
      <c r="P24" s="2">
        <v>4</v>
      </c>
      <c r="Q24" s="1">
        <v>781.71</v>
      </c>
      <c r="R24" t="s">
        <v>32</v>
      </c>
      <c r="S24" s="1">
        <v>0</v>
      </c>
      <c r="T24" s="1">
        <v>781.71</v>
      </c>
      <c r="U24" s="1">
        <f t="shared" si="0"/>
        <v>781.71</v>
      </c>
      <c r="V24" s="1" t="s">
        <v>49</v>
      </c>
      <c r="W24" t="s">
        <v>49</v>
      </c>
      <c r="X24" t="s">
        <v>115</v>
      </c>
      <c r="Y24" t="s">
        <v>43</v>
      </c>
      <c r="Z24" s="2">
        <v>13</v>
      </c>
      <c r="AA24" s="2">
        <v>5</v>
      </c>
      <c r="AB24" s="1">
        <v>93.81</v>
      </c>
      <c r="AC24" s="1">
        <v>0</v>
      </c>
      <c r="AD24" t="s">
        <v>58</v>
      </c>
    </row>
    <row r="25" spans="1:30" x14ac:dyDescent="0.3">
      <c r="A25" s="2">
        <v>7448</v>
      </c>
      <c r="B25" s="3">
        <v>45672</v>
      </c>
      <c r="C25" s="2">
        <v>1072</v>
      </c>
      <c r="D25" s="2" t="s">
        <v>79</v>
      </c>
      <c r="E25" t="s">
        <v>79</v>
      </c>
      <c r="F25" t="s">
        <v>73</v>
      </c>
      <c r="G25" t="s">
        <v>27</v>
      </c>
      <c r="H25" t="s">
        <v>27</v>
      </c>
      <c r="I25" s="2">
        <v>2369</v>
      </c>
      <c r="J25" t="s">
        <v>80</v>
      </c>
      <c r="K25" t="s">
        <v>47</v>
      </c>
      <c r="L25" t="s">
        <v>61</v>
      </c>
      <c r="M25">
        <v>2023</v>
      </c>
      <c r="N25">
        <v>41</v>
      </c>
      <c r="O25" t="s">
        <v>66</v>
      </c>
      <c r="P25" s="2">
        <v>2</v>
      </c>
      <c r="Q25" s="1">
        <v>553.91</v>
      </c>
      <c r="R25" t="s">
        <v>32</v>
      </c>
      <c r="S25" s="1">
        <v>0</v>
      </c>
      <c r="T25" s="1">
        <v>553.91</v>
      </c>
      <c r="U25" s="1">
        <f t="shared" si="0"/>
        <v>553.91</v>
      </c>
      <c r="V25" s="1" t="s">
        <v>113</v>
      </c>
      <c r="W25" t="s">
        <v>57</v>
      </c>
      <c r="X25" t="s">
        <v>34</v>
      </c>
      <c r="Y25" t="s">
        <v>34</v>
      </c>
      <c r="Z25" s="2">
        <v>10</v>
      </c>
      <c r="AA25" s="2">
        <v>1</v>
      </c>
      <c r="AB25" s="1">
        <v>66.47</v>
      </c>
      <c r="AC25" s="1">
        <v>0</v>
      </c>
      <c r="AD25" t="s">
        <v>58</v>
      </c>
    </row>
    <row r="26" spans="1:30" x14ac:dyDescent="0.3">
      <c r="A26" s="2">
        <v>7449</v>
      </c>
      <c r="B26" s="3">
        <v>45717</v>
      </c>
      <c r="C26" s="2">
        <v>1072</v>
      </c>
      <c r="D26" s="2" t="s">
        <v>85</v>
      </c>
      <c r="E26" t="s">
        <v>85</v>
      </c>
      <c r="F26" t="s">
        <v>45</v>
      </c>
      <c r="G26" t="s">
        <v>109</v>
      </c>
      <c r="H26" t="s">
        <v>38</v>
      </c>
      <c r="I26" s="2">
        <v>2167</v>
      </c>
      <c r="J26" t="s">
        <v>51</v>
      </c>
      <c r="K26" t="s">
        <v>40</v>
      </c>
      <c r="L26" t="s">
        <v>41</v>
      </c>
      <c r="M26">
        <v>2023</v>
      </c>
      <c r="N26">
        <v>42</v>
      </c>
      <c r="O26" t="s">
        <v>48</v>
      </c>
      <c r="P26" s="2">
        <v>5</v>
      </c>
      <c r="Q26" s="1">
        <v>503.53</v>
      </c>
      <c r="R26" t="s">
        <v>42</v>
      </c>
      <c r="S26" s="1">
        <v>50.35</v>
      </c>
      <c r="T26" s="1">
        <v>4.5317999999999904E+16</v>
      </c>
      <c r="U26" s="1">
        <f t="shared" si="0"/>
        <v>453.17999999999995</v>
      </c>
      <c r="V26" s="1" t="s">
        <v>49</v>
      </c>
      <c r="W26" t="s">
        <v>49</v>
      </c>
      <c r="X26" t="s">
        <v>34</v>
      </c>
      <c r="Y26" t="s">
        <v>34</v>
      </c>
      <c r="Z26" s="2">
        <v>11</v>
      </c>
      <c r="AA26" s="2">
        <v>4</v>
      </c>
      <c r="AB26" s="1">
        <v>60.42</v>
      </c>
      <c r="AC26" s="1">
        <v>25.18</v>
      </c>
      <c r="AD26" t="s">
        <v>58</v>
      </c>
    </row>
    <row r="27" spans="1:30" x14ac:dyDescent="0.3">
      <c r="A27" s="2">
        <v>7450</v>
      </c>
      <c r="B27" s="3">
        <v>45635</v>
      </c>
      <c r="C27" s="2">
        <v>1019</v>
      </c>
      <c r="D27" s="2" t="s">
        <v>100</v>
      </c>
      <c r="E27" t="s">
        <v>25</v>
      </c>
      <c r="F27" t="s">
        <v>37</v>
      </c>
      <c r="G27" t="s">
        <v>27</v>
      </c>
      <c r="H27" t="s">
        <v>27</v>
      </c>
      <c r="I27" s="2">
        <v>2569</v>
      </c>
      <c r="J27" t="s">
        <v>71</v>
      </c>
      <c r="K27" t="s">
        <v>68</v>
      </c>
      <c r="L27" t="s">
        <v>41</v>
      </c>
      <c r="M27">
        <v>2023</v>
      </c>
      <c r="N27">
        <v>38</v>
      </c>
      <c r="O27" t="s">
        <v>56</v>
      </c>
      <c r="P27" s="2">
        <v>3</v>
      </c>
      <c r="Q27" s="1">
        <v>454.72</v>
      </c>
      <c r="R27" t="s">
        <v>42</v>
      </c>
      <c r="S27" s="1">
        <v>45.47</v>
      </c>
      <c r="T27" s="1">
        <v>409.25</v>
      </c>
      <c r="U27" s="1">
        <f t="shared" si="0"/>
        <v>409.25</v>
      </c>
      <c r="V27" s="1" t="s">
        <v>49</v>
      </c>
      <c r="W27" t="s">
        <v>49</v>
      </c>
      <c r="X27" t="s">
        <v>34</v>
      </c>
      <c r="Y27" t="s">
        <v>34</v>
      </c>
      <c r="Z27" s="2">
        <v>14</v>
      </c>
      <c r="AA27" s="2">
        <v>5</v>
      </c>
      <c r="AB27" s="1">
        <v>54.57</v>
      </c>
      <c r="AC27" s="1">
        <v>22.74</v>
      </c>
      <c r="AD27" t="s">
        <v>35</v>
      </c>
    </row>
    <row r="28" spans="1:30" x14ac:dyDescent="0.3">
      <c r="A28" s="2">
        <v>7451</v>
      </c>
      <c r="B28" s="3">
        <v>45661</v>
      </c>
      <c r="C28" s="2">
        <v>1100</v>
      </c>
      <c r="D28" s="2" t="s">
        <v>77</v>
      </c>
      <c r="E28" t="s">
        <v>77</v>
      </c>
      <c r="F28" t="s">
        <v>37</v>
      </c>
      <c r="G28" t="s">
        <v>27</v>
      </c>
      <c r="H28" t="s">
        <v>27</v>
      </c>
      <c r="I28" s="2">
        <v>2970</v>
      </c>
      <c r="J28" t="s">
        <v>86</v>
      </c>
      <c r="K28" t="s">
        <v>72</v>
      </c>
      <c r="L28" t="s">
        <v>30</v>
      </c>
      <c r="M28">
        <v>2024</v>
      </c>
      <c r="N28">
        <v>42</v>
      </c>
      <c r="O28" t="s">
        <v>66</v>
      </c>
      <c r="P28" s="2">
        <v>5</v>
      </c>
      <c r="Q28" s="1">
        <v>694.39</v>
      </c>
      <c r="R28" t="s">
        <v>32</v>
      </c>
      <c r="S28" s="1">
        <v>0</v>
      </c>
      <c r="T28" s="1">
        <v>694.39</v>
      </c>
      <c r="U28" s="1">
        <f t="shared" si="0"/>
        <v>694.39</v>
      </c>
      <c r="V28" s="1" t="s">
        <v>113</v>
      </c>
      <c r="W28" t="s">
        <v>57</v>
      </c>
      <c r="X28" t="s">
        <v>34</v>
      </c>
      <c r="Y28" t="s">
        <v>34</v>
      </c>
      <c r="Z28" s="2">
        <v>11</v>
      </c>
      <c r="AA28" s="2">
        <v>1</v>
      </c>
      <c r="AB28" s="1">
        <v>83.33</v>
      </c>
      <c r="AC28" s="1">
        <v>0</v>
      </c>
      <c r="AD28" t="s">
        <v>69</v>
      </c>
    </row>
    <row r="29" spans="1:30" x14ac:dyDescent="0.3">
      <c r="A29" s="2">
        <v>7452</v>
      </c>
      <c r="B29" s="3">
        <v>45711</v>
      </c>
      <c r="C29" s="2">
        <v>1012</v>
      </c>
      <c r="D29" s="2" t="s">
        <v>87</v>
      </c>
      <c r="E29" t="s">
        <v>87</v>
      </c>
      <c r="F29" t="s">
        <v>60</v>
      </c>
      <c r="G29" t="s">
        <v>27</v>
      </c>
      <c r="H29" t="s">
        <v>27</v>
      </c>
      <c r="I29" s="2">
        <v>2185</v>
      </c>
      <c r="J29" t="s">
        <v>39</v>
      </c>
      <c r="K29" t="s">
        <v>47</v>
      </c>
      <c r="L29" t="s">
        <v>61</v>
      </c>
      <c r="M29">
        <v>2022</v>
      </c>
      <c r="N29">
        <v>41</v>
      </c>
      <c r="O29" t="s">
        <v>66</v>
      </c>
      <c r="P29" s="2">
        <v>5</v>
      </c>
      <c r="Q29" s="1">
        <v>352.01</v>
      </c>
      <c r="R29" t="s">
        <v>42</v>
      </c>
      <c r="S29" s="1">
        <v>35.200000000000003</v>
      </c>
      <c r="T29" s="1">
        <v>316.81</v>
      </c>
      <c r="U29" s="1">
        <f t="shared" si="0"/>
        <v>316.81</v>
      </c>
      <c r="V29" s="1" t="s">
        <v>112</v>
      </c>
      <c r="W29" t="s">
        <v>33</v>
      </c>
      <c r="X29" t="s">
        <v>115</v>
      </c>
      <c r="Y29" t="s">
        <v>43</v>
      </c>
      <c r="Z29" s="2">
        <v>9</v>
      </c>
      <c r="AA29" s="2">
        <v>5</v>
      </c>
      <c r="AB29" s="1">
        <v>42.24</v>
      </c>
      <c r="AC29" s="1">
        <v>17.600000000000001</v>
      </c>
      <c r="AD29" t="s">
        <v>69</v>
      </c>
    </row>
    <row r="30" spans="1:30" x14ac:dyDescent="0.3">
      <c r="A30" s="2">
        <v>7453</v>
      </c>
      <c r="B30" s="3">
        <v>45652</v>
      </c>
      <c r="C30" s="2">
        <v>1080</v>
      </c>
      <c r="D30" s="2" t="s">
        <v>88</v>
      </c>
      <c r="E30" t="s">
        <v>88</v>
      </c>
      <c r="F30" t="s">
        <v>45</v>
      </c>
      <c r="G30" t="s">
        <v>27</v>
      </c>
      <c r="H30" t="s">
        <v>27</v>
      </c>
      <c r="I30" s="2">
        <v>2673</v>
      </c>
      <c r="J30" t="s">
        <v>80</v>
      </c>
      <c r="K30" t="s">
        <v>72</v>
      </c>
      <c r="L30" t="s">
        <v>61</v>
      </c>
      <c r="M30">
        <v>2023</v>
      </c>
      <c r="N30">
        <v>41</v>
      </c>
      <c r="O30" t="s">
        <v>66</v>
      </c>
      <c r="P30" s="2">
        <v>2</v>
      </c>
      <c r="Q30" s="1">
        <v>516.5</v>
      </c>
      <c r="R30" t="s">
        <v>42</v>
      </c>
      <c r="S30" s="1">
        <v>51.65</v>
      </c>
      <c r="T30" s="1">
        <v>464.85</v>
      </c>
      <c r="U30" s="1">
        <f t="shared" si="0"/>
        <v>464.85</v>
      </c>
      <c r="V30" s="1" t="s">
        <v>112</v>
      </c>
      <c r="W30" t="s">
        <v>33</v>
      </c>
      <c r="X30" t="s">
        <v>115</v>
      </c>
      <c r="Y30" t="s">
        <v>43</v>
      </c>
      <c r="Z30" s="2">
        <v>8</v>
      </c>
      <c r="AA30" s="2">
        <v>3</v>
      </c>
      <c r="AB30" s="1">
        <v>61.98</v>
      </c>
      <c r="AC30" s="1">
        <v>25.83</v>
      </c>
      <c r="AD30" t="s">
        <v>58</v>
      </c>
    </row>
    <row r="31" spans="1:30" x14ac:dyDescent="0.3">
      <c r="A31" s="2">
        <v>7454</v>
      </c>
      <c r="B31" s="3">
        <v>45478</v>
      </c>
      <c r="C31" s="2">
        <v>1055</v>
      </c>
      <c r="D31" s="2" t="s">
        <v>89</v>
      </c>
      <c r="E31" t="s">
        <v>89</v>
      </c>
      <c r="F31" t="s">
        <v>73</v>
      </c>
      <c r="G31" t="s">
        <v>27</v>
      </c>
      <c r="H31" t="s">
        <v>27</v>
      </c>
      <c r="I31" s="2">
        <v>2220</v>
      </c>
      <c r="J31" t="s">
        <v>28</v>
      </c>
      <c r="K31" t="s">
        <v>78</v>
      </c>
      <c r="L31" t="s">
        <v>30</v>
      </c>
      <c r="M31">
        <v>2023</v>
      </c>
      <c r="N31">
        <v>38</v>
      </c>
      <c r="O31" t="s">
        <v>66</v>
      </c>
      <c r="P31" s="2">
        <v>4</v>
      </c>
      <c r="Q31" s="1">
        <v>799.22</v>
      </c>
      <c r="R31" t="s">
        <v>42</v>
      </c>
      <c r="S31" s="1">
        <v>79.92</v>
      </c>
      <c r="T31" s="1">
        <v>7193000000000000</v>
      </c>
      <c r="U31" s="1">
        <f t="shared" si="0"/>
        <v>719.30000000000007</v>
      </c>
      <c r="V31" s="1" t="s">
        <v>49</v>
      </c>
      <c r="W31" t="s">
        <v>49</v>
      </c>
      <c r="X31" t="s">
        <v>34</v>
      </c>
      <c r="Y31" t="s">
        <v>34</v>
      </c>
      <c r="Z31" s="2">
        <v>1</v>
      </c>
      <c r="AA31" s="2">
        <v>3</v>
      </c>
      <c r="AB31" s="1">
        <v>95.91</v>
      </c>
      <c r="AC31" s="1">
        <v>39.96</v>
      </c>
      <c r="AD31" t="s">
        <v>58</v>
      </c>
    </row>
    <row r="32" spans="1:30" x14ac:dyDescent="0.3">
      <c r="A32" s="2">
        <v>7455</v>
      </c>
      <c r="B32" s="3">
        <v>45652</v>
      </c>
      <c r="C32" s="2">
        <v>1019</v>
      </c>
      <c r="D32" s="2" t="s">
        <v>104</v>
      </c>
      <c r="E32" t="s">
        <v>76</v>
      </c>
      <c r="F32" t="s">
        <v>37</v>
      </c>
      <c r="G32" t="s">
        <v>109</v>
      </c>
      <c r="H32" t="s">
        <v>38</v>
      </c>
      <c r="I32" s="2">
        <v>2352</v>
      </c>
      <c r="J32" t="s">
        <v>71</v>
      </c>
      <c r="K32" t="s">
        <v>47</v>
      </c>
      <c r="L32" t="s">
        <v>61</v>
      </c>
      <c r="M32">
        <v>2024</v>
      </c>
      <c r="N32">
        <v>38</v>
      </c>
      <c r="O32" t="s">
        <v>56</v>
      </c>
      <c r="P32" s="2">
        <v>5</v>
      </c>
      <c r="Q32" s="1">
        <v>741.56</v>
      </c>
      <c r="R32" t="s">
        <v>32</v>
      </c>
      <c r="S32" s="1">
        <v>0</v>
      </c>
      <c r="T32" s="1">
        <v>741.56</v>
      </c>
      <c r="U32" s="1">
        <f t="shared" si="0"/>
        <v>741.56</v>
      </c>
      <c r="V32" s="1" t="s">
        <v>53</v>
      </c>
      <c r="W32" t="s">
        <v>53</v>
      </c>
      <c r="X32" t="s">
        <v>50</v>
      </c>
      <c r="Y32" t="s">
        <v>50</v>
      </c>
      <c r="Z32" s="2">
        <v>5</v>
      </c>
      <c r="AA32" s="2">
        <v>1</v>
      </c>
      <c r="AB32" s="1">
        <v>88.99</v>
      </c>
      <c r="AC32" s="1">
        <v>0</v>
      </c>
      <c r="AD32" t="s">
        <v>69</v>
      </c>
    </row>
    <row r="33" spans="1:30" x14ac:dyDescent="0.3">
      <c r="A33" s="2">
        <v>7456</v>
      </c>
      <c r="B33" s="3">
        <v>45651</v>
      </c>
      <c r="C33" s="2">
        <v>1014</v>
      </c>
      <c r="D33" s="2" t="s">
        <v>103</v>
      </c>
      <c r="E33" t="s">
        <v>74</v>
      </c>
      <c r="F33" t="s">
        <v>37</v>
      </c>
      <c r="G33" t="s">
        <v>109</v>
      </c>
      <c r="H33" t="s">
        <v>38</v>
      </c>
      <c r="I33" s="2">
        <v>2435</v>
      </c>
      <c r="J33" t="s">
        <v>39</v>
      </c>
      <c r="K33" t="s">
        <v>29</v>
      </c>
      <c r="L33" t="s">
        <v>30</v>
      </c>
      <c r="M33">
        <v>2023</v>
      </c>
      <c r="N33">
        <v>41</v>
      </c>
      <c r="O33" t="s">
        <v>56</v>
      </c>
      <c r="P33" s="2">
        <v>2</v>
      </c>
      <c r="Q33" s="1">
        <v>709.55</v>
      </c>
      <c r="R33" t="s">
        <v>42</v>
      </c>
      <c r="S33" s="1">
        <v>70.95</v>
      </c>
      <c r="T33" s="1">
        <v>6385999999999990</v>
      </c>
      <c r="U33" s="1">
        <f t="shared" si="0"/>
        <v>638.59999999999991</v>
      </c>
      <c r="V33" s="1" t="s">
        <v>49</v>
      </c>
      <c r="W33" t="s">
        <v>49</v>
      </c>
      <c r="X33" t="s">
        <v>34</v>
      </c>
      <c r="Y33" t="s">
        <v>34</v>
      </c>
      <c r="Z33" s="2">
        <v>3</v>
      </c>
      <c r="AA33" s="2">
        <v>5</v>
      </c>
      <c r="AB33" s="1">
        <v>85.15</v>
      </c>
      <c r="AC33" s="1">
        <v>35.479999999999997</v>
      </c>
      <c r="AD33" t="s">
        <v>35</v>
      </c>
    </row>
    <row r="34" spans="1:30" x14ac:dyDescent="0.3">
      <c r="A34" s="2">
        <v>7457</v>
      </c>
      <c r="B34" s="3">
        <v>45597</v>
      </c>
      <c r="C34" s="2">
        <v>1093</v>
      </c>
      <c r="D34" s="2" t="s">
        <v>90</v>
      </c>
      <c r="E34" t="s">
        <v>90</v>
      </c>
      <c r="F34" t="s">
        <v>60</v>
      </c>
      <c r="G34" t="s">
        <v>27</v>
      </c>
      <c r="H34" t="s">
        <v>27</v>
      </c>
      <c r="I34" s="2">
        <v>2364</v>
      </c>
      <c r="J34" t="s">
        <v>80</v>
      </c>
      <c r="K34" t="s">
        <v>52</v>
      </c>
      <c r="L34" t="s">
        <v>41</v>
      </c>
      <c r="M34">
        <v>2022</v>
      </c>
      <c r="N34">
        <v>41</v>
      </c>
      <c r="O34" t="s">
        <v>31</v>
      </c>
      <c r="P34" s="2">
        <v>4</v>
      </c>
      <c r="Q34" s="1">
        <v>553.84</v>
      </c>
      <c r="R34" t="s">
        <v>42</v>
      </c>
      <c r="S34" s="1">
        <v>55.38</v>
      </c>
      <c r="T34" s="1">
        <v>4.9846E+16</v>
      </c>
      <c r="U34" s="1">
        <f t="shared" si="0"/>
        <v>498.46000000000004</v>
      </c>
      <c r="V34" s="1" t="s">
        <v>53</v>
      </c>
      <c r="W34" t="s">
        <v>53</v>
      </c>
      <c r="X34" t="s">
        <v>115</v>
      </c>
      <c r="Y34" t="s">
        <v>43</v>
      </c>
      <c r="Z34" s="2">
        <v>13</v>
      </c>
      <c r="AA34" s="2">
        <v>5</v>
      </c>
      <c r="AB34" s="1">
        <v>66.459999999999994</v>
      </c>
      <c r="AC34" s="1">
        <v>27.69</v>
      </c>
      <c r="AD34" t="s">
        <v>69</v>
      </c>
    </row>
    <row r="35" spans="1:30" x14ac:dyDescent="0.3">
      <c r="A35" s="2">
        <v>7458</v>
      </c>
      <c r="B35" s="3">
        <v>45505</v>
      </c>
      <c r="C35" s="2">
        <v>1056</v>
      </c>
      <c r="D35" s="2" t="s">
        <v>91</v>
      </c>
      <c r="E35" t="s">
        <v>91</v>
      </c>
      <c r="F35" t="s">
        <v>26</v>
      </c>
      <c r="G35" t="s">
        <v>109</v>
      </c>
      <c r="H35" t="s">
        <v>38</v>
      </c>
      <c r="I35" s="2">
        <v>2895</v>
      </c>
      <c r="J35" t="s">
        <v>86</v>
      </c>
      <c r="K35" t="s">
        <v>64</v>
      </c>
      <c r="L35" t="s">
        <v>41</v>
      </c>
      <c r="M35">
        <v>2022</v>
      </c>
      <c r="N35">
        <v>40</v>
      </c>
      <c r="O35" t="s">
        <v>66</v>
      </c>
      <c r="P35" s="2">
        <v>4</v>
      </c>
      <c r="Q35" s="1">
        <v>337.28</v>
      </c>
      <c r="R35" t="s">
        <v>32</v>
      </c>
      <c r="S35" s="1">
        <v>0</v>
      </c>
      <c r="T35" s="1">
        <v>337.28</v>
      </c>
      <c r="U35" s="1">
        <f t="shared" si="0"/>
        <v>337.28</v>
      </c>
      <c r="V35" s="1" t="s">
        <v>53</v>
      </c>
      <c r="W35" t="s">
        <v>53</v>
      </c>
      <c r="X35" t="s">
        <v>115</v>
      </c>
      <c r="Y35" t="s">
        <v>43</v>
      </c>
      <c r="Z35" s="2">
        <v>11</v>
      </c>
      <c r="AA35" s="2">
        <v>5</v>
      </c>
      <c r="AB35" s="1">
        <v>40.47</v>
      </c>
      <c r="AC35" s="1">
        <v>0</v>
      </c>
      <c r="AD35" t="s">
        <v>58</v>
      </c>
    </row>
    <row r="36" spans="1:30" x14ac:dyDescent="0.3">
      <c r="A36" s="2">
        <v>7459</v>
      </c>
      <c r="B36" s="3">
        <v>45629</v>
      </c>
      <c r="C36" s="2">
        <v>1086</v>
      </c>
      <c r="D36" s="2" t="s">
        <v>92</v>
      </c>
      <c r="E36" t="s">
        <v>92</v>
      </c>
      <c r="F36" t="s">
        <v>73</v>
      </c>
      <c r="G36" t="s">
        <v>55</v>
      </c>
      <c r="H36" t="s">
        <v>55</v>
      </c>
      <c r="I36" s="2">
        <v>2364</v>
      </c>
      <c r="J36" t="s">
        <v>46</v>
      </c>
      <c r="K36" t="s">
        <v>40</v>
      </c>
      <c r="L36" t="s">
        <v>41</v>
      </c>
      <c r="M36">
        <v>2023</v>
      </c>
      <c r="N36">
        <v>38</v>
      </c>
      <c r="O36" t="s">
        <v>75</v>
      </c>
      <c r="P36" s="2">
        <v>5</v>
      </c>
      <c r="Q36" s="1">
        <v>410.69</v>
      </c>
      <c r="R36" t="s">
        <v>42</v>
      </c>
      <c r="S36" s="1">
        <v>41.07</v>
      </c>
      <c r="T36" s="1">
        <v>369.62</v>
      </c>
      <c r="U36" s="1">
        <f t="shared" si="0"/>
        <v>369.62</v>
      </c>
      <c r="V36" s="1" t="s">
        <v>53</v>
      </c>
      <c r="W36" t="s">
        <v>53</v>
      </c>
      <c r="X36" t="s">
        <v>115</v>
      </c>
      <c r="Y36" t="s">
        <v>43</v>
      </c>
      <c r="Z36" s="2">
        <v>7</v>
      </c>
      <c r="AA36" s="2">
        <v>1</v>
      </c>
      <c r="AB36" s="1">
        <v>49.28</v>
      </c>
      <c r="AC36" s="1">
        <v>20.53</v>
      </c>
      <c r="AD36" t="s">
        <v>35</v>
      </c>
    </row>
    <row r="37" spans="1:30" x14ac:dyDescent="0.3">
      <c r="A37" s="2">
        <v>7460</v>
      </c>
      <c r="B37" s="3">
        <v>45746</v>
      </c>
      <c r="C37" s="2">
        <v>1027</v>
      </c>
      <c r="D37" s="2" t="s">
        <v>101</v>
      </c>
      <c r="E37" t="s">
        <v>44</v>
      </c>
      <c r="F37" t="s">
        <v>73</v>
      </c>
      <c r="G37" t="s">
        <v>27</v>
      </c>
      <c r="H37" t="s">
        <v>27</v>
      </c>
      <c r="I37" s="2">
        <v>2387</v>
      </c>
      <c r="J37" t="s">
        <v>86</v>
      </c>
      <c r="K37" t="s">
        <v>68</v>
      </c>
      <c r="L37" t="s">
        <v>30</v>
      </c>
      <c r="M37">
        <v>2023</v>
      </c>
      <c r="N37">
        <v>39</v>
      </c>
      <c r="O37" t="s">
        <v>75</v>
      </c>
      <c r="P37" s="2">
        <v>5</v>
      </c>
      <c r="Q37" s="1">
        <v>677.04</v>
      </c>
      <c r="R37" t="s">
        <v>42</v>
      </c>
      <c r="S37" s="1">
        <v>67.7</v>
      </c>
      <c r="T37" s="1">
        <v>6093399999999990</v>
      </c>
      <c r="U37" s="1">
        <f t="shared" si="0"/>
        <v>609.33999999999992</v>
      </c>
      <c r="V37" s="1" t="s">
        <v>112</v>
      </c>
      <c r="W37" t="s">
        <v>33</v>
      </c>
      <c r="X37" t="s">
        <v>115</v>
      </c>
      <c r="Y37" t="s">
        <v>43</v>
      </c>
      <c r="Z37" s="2">
        <v>1</v>
      </c>
      <c r="AA37" s="2">
        <v>2</v>
      </c>
      <c r="AB37" s="1">
        <v>81.239999999999995</v>
      </c>
      <c r="AC37" s="1">
        <v>33.85</v>
      </c>
      <c r="AD37" t="s">
        <v>35</v>
      </c>
    </row>
    <row r="38" spans="1:30" x14ac:dyDescent="0.3">
      <c r="A38" s="2">
        <v>7461</v>
      </c>
      <c r="B38" s="3">
        <v>45730</v>
      </c>
      <c r="C38" s="2">
        <v>1074</v>
      </c>
      <c r="D38" s="2" t="s">
        <v>105</v>
      </c>
      <c r="E38" t="s">
        <v>81</v>
      </c>
      <c r="F38" t="s">
        <v>60</v>
      </c>
      <c r="G38" t="s">
        <v>109</v>
      </c>
      <c r="H38" t="s">
        <v>38</v>
      </c>
      <c r="I38" s="2">
        <v>2019</v>
      </c>
      <c r="J38" t="s">
        <v>63</v>
      </c>
      <c r="K38" t="s">
        <v>29</v>
      </c>
      <c r="L38" t="s">
        <v>30</v>
      </c>
      <c r="M38">
        <v>2024</v>
      </c>
      <c r="N38">
        <v>37</v>
      </c>
      <c r="O38" t="s">
        <v>48</v>
      </c>
      <c r="P38" s="2">
        <v>2</v>
      </c>
      <c r="Q38" s="1">
        <v>788.74</v>
      </c>
      <c r="R38" t="s">
        <v>42</v>
      </c>
      <c r="S38" s="1">
        <v>78.87</v>
      </c>
      <c r="T38" s="1">
        <v>709.87</v>
      </c>
      <c r="U38" s="1">
        <f t="shared" si="0"/>
        <v>709.87</v>
      </c>
      <c r="V38" s="1" t="s">
        <v>49</v>
      </c>
      <c r="W38" t="s">
        <v>49</v>
      </c>
      <c r="X38" t="s">
        <v>115</v>
      </c>
      <c r="Y38" t="s">
        <v>43</v>
      </c>
      <c r="Z38" s="2">
        <v>11</v>
      </c>
      <c r="AA38" s="2">
        <v>4</v>
      </c>
      <c r="AB38" s="1">
        <v>94.65</v>
      </c>
      <c r="AC38" s="1">
        <v>39.44</v>
      </c>
      <c r="AD38" t="s">
        <v>69</v>
      </c>
    </row>
    <row r="39" spans="1:30" x14ac:dyDescent="0.3">
      <c r="A39" s="2">
        <v>7462</v>
      </c>
      <c r="B39" s="3">
        <v>45456</v>
      </c>
      <c r="C39" s="2">
        <v>1064</v>
      </c>
      <c r="D39" s="2" t="s">
        <v>93</v>
      </c>
      <c r="E39" t="s">
        <v>93</v>
      </c>
      <c r="F39" t="s">
        <v>60</v>
      </c>
      <c r="G39" t="s">
        <v>109</v>
      </c>
      <c r="H39" t="s">
        <v>38</v>
      </c>
      <c r="I39" s="2">
        <v>2987</v>
      </c>
      <c r="J39" t="s">
        <v>63</v>
      </c>
      <c r="K39" t="s">
        <v>29</v>
      </c>
      <c r="L39" t="s">
        <v>61</v>
      </c>
      <c r="M39">
        <v>2024</v>
      </c>
      <c r="N39">
        <v>41</v>
      </c>
      <c r="O39" t="s">
        <v>66</v>
      </c>
      <c r="P39" s="2">
        <v>4</v>
      </c>
      <c r="Q39" s="1">
        <v>631.16999999999996</v>
      </c>
      <c r="R39" t="s">
        <v>32</v>
      </c>
      <c r="S39" s="1">
        <v>0</v>
      </c>
      <c r="T39" s="1">
        <v>631.16999999999996</v>
      </c>
      <c r="U39" s="1">
        <f t="shared" si="0"/>
        <v>631.16999999999996</v>
      </c>
      <c r="V39" s="1" t="s">
        <v>112</v>
      </c>
      <c r="W39" t="s">
        <v>33</v>
      </c>
      <c r="X39" t="s">
        <v>50</v>
      </c>
      <c r="Y39" t="s">
        <v>50</v>
      </c>
      <c r="Z39" s="2">
        <v>5</v>
      </c>
      <c r="AA39" s="2">
        <v>2</v>
      </c>
      <c r="AB39" s="1">
        <v>75.739999999999995</v>
      </c>
      <c r="AC39" s="1">
        <v>0</v>
      </c>
      <c r="AD39" t="s">
        <v>58</v>
      </c>
    </row>
    <row r="40" spans="1:30" x14ac:dyDescent="0.3">
      <c r="A40" s="2">
        <v>7463</v>
      </c>
      <c r="B40" s="3">
        <v>45500</v>
      </c>
      <c r="C40" s="2">
        <v>1028</v>
      </c>
      <c r="D40" s="2" t="s">
        <v>77</v>
      </c>
      <c r="E40" t="s">
        <v>77</v>
      </c>
      <c r="F40" t="s">
        <v>60</v>
      </c>
      <c r="G40" t="s">
        <v>27</v>
      </c>
      <c r="H40" t="s">
        <v>27</v>
      </c>
      <c r="I40" s="2">
        <v>2003</v>
      </c>
      <c r="J40" t="s">
        <v>46</v>
      </c>
      <c r="K40" t="s">
        <v>78</v>
      </c>
      <c r="L40" t="s">
        <v>61</v>
      </c>
      <c r="M40">
        <v>2023</v>
      </c>
      <c r="N40">
        <v>41</v>
      </c>
      <c r="O40" t="s">
        <v>75</v>
      </c>
      <c r="P40" s="2">
        <v>5</v>
      </c>
      <c r="Q40" s="1">
        <v>388.53</v>
      </c>
      <c r="R40" t="s">
        <v>42</v>
      </c>
      <c r="S40" s="1">
        <v>38.85</v>
      </c>
      <c r="T40" s="1">
        <v>3.49679999999999E+16</v>
      </c>
      <c r="U40" s="1">
        <f t="shared" si="0"/>
        <v>349.67999999999995</v>
      </c>
      <c r="V40" s="1" t="s">
        <v>49</v>
      </c>
      <c r="W40" t="s">
        <v>49</v>
      </c>
      <c r="X40" t="s">
        <v>34</v>
      </c>
      <c r="Y40" t="s">
        <v>34</v>
      </c>
      <c r="Z40" s="2">
        <v>13</v>
      </c>
      <c r="AA40" s="2">
        <v>2</v>
      </c>
      <c r="AB40" s="1">
        <v>46.62</v>
      </c>
      <c r="AC40" s="1">
        <v>19.43</v>
      </c>
      <c r="AD40" t="s">
        <v>69</v>
      </c>
    </row>
    <row r="41" spans="1:30" x14ac:dyDescent="0.3">
      <c r="A41" s="2">
        <v>7464</v>
      </c>
      <c r="B41" s="3">
        <v>45722</v>
      </c>
      <c r="C41" s="2">
        <v>1058</v>
      </c>
      <c r="D41" s="2" t="s">
        <v>91</v>
      </c>
      <c r="E41" t="s">
        <v>91</v>
      </c>
      <c r="F41" t="s">
        <v>60</v>
      </c>
      <c r="G41" t="s">
        <v>109</v>
      </c>
      <c r="H41" t="s">
        <v>38</v>
      </c>
      <c r="I41" s="2">
        <v>2828</v>
      </c>
      <c r="J41" t="s">
        <v>51</v>
      </c>
      <c r="K41" t="s">
        <v>78</v>
      </c>
      <c r="L41" t="s">
        <v>61</v>
      </c>
      <c r="M41">
        <v>2024</v>
      </c>
      <c r="N41">
        <v>40</v>
      </c>
      <c r="O41" t="s">
        <v>66</v>
      </c>
      <c r="P41" s="2">
        <v>2</v>
      </c>
      <c r="Q41" s="1">
        <v>410.13</v>
      </c>
      <c r="R41" t="s">
        <v>32</v>
      </c>
      <c r="S41" s="1">
        <v>0</v>
      </c>
      <c r="T41" s="1">
        <v>410.13</v>
      </c>
      <c r="U41" s="1">
        <f t="shared" si="0"/>
        <v>410.13</v>
      </c>
      <c r="V41" s="1" t="s">
        <v>49</v>
      </c>
      <c r="W41" t="s">
        <v>49</v>
      </c>
      <c r="X41" t="s">
        <v>34</v>
      </c>
      <c r="Y41" t="s">
        <v>34</v>
      </c>
      <c r="Z41" s="2">
        <v>14</v>
      </c>
      <c r="AA41" s="2">
        <v>4</v>
      </c>
      <c r="AB41" s="1">
        <v>49.22</v>
      </c>
      <c r="AC41" s="1">
        <v>0</v>
      </c>
      <c r="AD41" t="s">
        <v>58</v>
      </c>
    </row>
    <row r="42" spans="1:30" x14ac:dyDescent="0.3">
      <c r="A42" s="2">
        <v>7465</v>
      </c>
      <c r="B42" s="3">
        <v>45763</v>
      </c>
      <c r="C42" s="2">
        <v>1022</v>
      </c>
      <c r="D42" s="2" t="s">
        <v>84</v>
      </c>
      <c r="E42" t="s">
        <v>84</v>
      </c>
      <c r="F42" t="s">
        <v>45</v>
      </c>
      <c r="G42" t="s">
        <v>27</v>
      </c>
      <c r="H42" t="s">
        <v>27</v>
      </c>
      <c r="I42" s="2">
        <v>2798</v>
      </c>
      <c r="J42" t="s">
        <v>28</v>
      </c>
      <c r="K42" t="s">
        <v>78</v>
      </c>
      <c r="L42" t="s">
        <v>30</v>
      </c>
      <c r="M42">
        <v>2023</v>
      </c>
      <c r="N42">
        <v>37</v>
      </c>
      <c r="O42" t="s">
        <v>48</v>
      </c>
      <c r="P42" s="2">
        <v>4</v>
      </c>
      <c r="Q42" s="1">
        <v>608.6</v>
      </c>
      <c r="R42" t="s">
        <v>32</v>
      </c>
      <c r="S42" s="1">
        <v>0</v>
      </c>
      <c r="T42" s="1">
        <v>608.6</v>
      </c>
      <c r="U42" s="1">
        <f t="shared" si="0"/>
        <v>608.6</v>
      </c>
      <c r="V42" s="1" t="s">
        <v>49</v>
      </c>
      <c r="W42" t="s">
        <v>49</v>
      </c>
      <c r="X42" t="s">
        <v>115</v>
      </c>
      <c r="Y42" t="s">
        <v>43</v>
      </c>
      <c r="Z42" s="2">
        <v>1</v>
      </c>
      <c r="AA42" s="2">
        <v>1</v>
      </c>
      <c r="AB42" s="1">
        <v>73.03</v>
      </c>
      <c r="AC42" s="1">
        <v>0</v>
      </c>
      <c r="AD42" t="s">
        <v>58</v>
      </c>
    </row>
    <row r="43" spans="1:30" x14ac:dyDescent="0.3">
      <c r="A43" s="2">
        <v>7466</v>
      </c>
      <c r="B43" s="3">
        <v>45634</v>
      </c>
      <c r="C43" s="2">
        <v>1094</v>
      </c>
      <c r="D43" s="2" t="s">
        <v>70</v>
      </c>
      <c r="E43" t="s">
        <v>70</v>
      </c>
      <c r="F43" t="s">
        <v>73</v>
      </c>
      <c r="G43" t="s">
        <v>27</v>
      </c>
      <c r="H43" t="s">
        <v>27</v>
      </c>
      <c r="I43" s="2">
        <v>2791</v>
      </c>
      <c r="J43" t="s">
        <v>80</v>
      </c>
      <c r="K43" t="s">
        <v>29</v>
      </c>
      <c r="L43" t="s">
        <v>41</v>
      </c>
      <c r="M43">
        <v>2024</v>
      </c>
      <c r="N43">
        <v>41</v>
      </c>
      <c r="O43" t="s">
        <v>56</v>
      </c>
      <c r="P43" s="2">
        <v>1</v>
      </c>
      <c r="Q43" s="1">
        <v>592.63</v>
      </c>
      <c r="R43" t="s">
        <v>42</v>
      </c>
      <c r="S43" s="1">
        <v>59.26</v>
      </c>
      <c r="T43" s="1">
        <v>533.37</v>
      </c>
      <c r="U43" s="1">
        <f t="shared" si="0"/>
        <v>533.37</v>
      </c>
      <c r="V43" s="1" t="s">
        <v>49</v>
      </c>
      <c r="W43" t="s">
        <v>49</v>
      </c>
      <c r="X43" t="s">
        <v>115</v>
      </c>
      <c r="Y43" t="s">
        <v>43</v>
      </c>
      <c r="Z43" s="2">
        <v>11</v>
      </c>
      <c r="AA43" s="2">
        <v>5</v>
      </c>
      <c r="AB43" s="1">
        <v>71.12</v>
      </c>
      <c r="AC43" s="1">
        <v>29.63</v>
      </c>
      <c r="AD43" t="s">
        <v>58</v>
      </c>
    </row>
    <row r="44" spans="1:30" x14ac:dyDescent="0.3">
      <c r="A44" s="2">
        <v>7467</v>
      </c>
      <c r="B44" s="3">
        <v>45571</v>
      </c>
      <c r="C44" s="2">
        <v>1047</v>
      </c>
      <c r="D44" s="2" t="s">
        <v>88</v>
      </c>
      <c r="E44" t="s">
        <v>88</v>
      </c>
      <c r="F44" t="s">
        <v>45</v>
      </c>
      <c r="G44" t="s">
        <v>55</v>
      </c>
      <c r="H44" t="s">
        <v>55</v>
      </c>
      <c r="I44" s="2">
        <v>2806</v>
      </c>
      <c r="J44" t="s">
        <v>51</v>
      </c>
      <c r="K44" t="s">
        <v>47</v>
      </c>
      <c r="L44" t="s">
        <v>41</v>
      </c>
      <c r="M44">
        <v>2022</v>
      </c>
      <c r="N44">
        <v>39</v>
      </c>
      <c r="O44" t="s">
        <v>56</v>
      </c>
      <c r="P44" s="2">
        <v>2</v>
      </c>
      <c r="Q44" s="1">
        <v>345.7</v>
      </c>
      <c r="R44" t="s">
        <v>42</v>
      </c>
      <c r="S44" s="1">
        <v>34.57</v>
      </c>
      <c r="T44" s="1">
        <v>311.13</v>
      </c>
      <c r="U44" s="1">
        <f t="shared" si="0"/>
        <v>311.13</v>
      </c>
      <c r="V44" s="1" t="s">
        <v>112</v>
      </c>
      <c r="W44" t="s">
        <v>33</v>
      </c>
      <c r="X44" t="s">
        <v>115</v>
      </c>
      <c r="Y44" t="s">
        <v>43</v>
      </c>
      <c r="Z44" s="2">
        <v>10</v>
      </c>
      <c r="AA44" s="2">
        <v>1</v>
      </c>
      <c r="AB44" s="1">
        <v>41.48</v>
      </c>
      <c r="AC44" s="1">
        <v>17.29</v>
      </c>
      <c r="AD44" t="s">
        <v>58</v>
      </c>
    </row>
    <row r="45" spans="1:30" x14ac:dyDescent="0.3">
      <c r="A45" s="2">
        <v>7468</v>
      </c>
      <c r="B45" s="3">
        <v>45719</v>
      </c>
      <c r="C45" s="2">
        <v>1019</v>
      </c>
      <c r="D45" s="2" t="s">
        <v>85</v>
      </c>
      <c r="E45" t="s">
        <v>85</v>
      </c>
      <c r="F45" t="s">
        <v>60</v>
      </c>
      <c r="G45" t="s">
        <v>27</v>
      </c>
      <c r="H45" t="s">
        <v>27</v>
      </c>
      <c r="I45" s="2">
        <v>2819</v>
      </c>
      <c r="J45" t="s">
        <v>39</v>
      </c>
      <c r="K45" t="s">
        <v>64</v>
      </c>
      <c r="L45" t="s">
        <v>41</v>
      </c>
      <c r="M45">
        <v>2022</v>
      </c>
      <c r="N45">
        <v>38</v>
      </c>
      <c r="O45" t="s">
        <v>66</v>
      </c>
      <c r="P45" s="2">
        <v>4</v>
      </c>
      <c r="Q45" s="1">
        <v>490.06</v>
      </c>
      <c r="R45" t="s">
        <v>32</v>
      </c>
      <c r="S45" s="1">
        <v>0</v>
      </c>
      <c r="T45" s="1">
        <v>490.06</v>
      </c>
      <c r="U45" s="1">
        <f t="shared" si="0"/>
        <v>490.06</v>
      </c>
      <c r="V45" s="1" t="s">
        <v>53</v>
      </c>
      <c r="W45" t="s">
        <v>53</v>
      </c>
      <c r="X45" t="s">
        <v>50</v>
      </c>
      <c r="Y45" t="s">
        <v>50</v>
      </c>
      <c r="Z45" s="2">
        <v>14</v>
      </c>
      <c r="AA45" s="2">
        <v>1</v>
      </c>
      <c r="AB45" s="1">
        <v>58.81</v>
      </c>
      <c r="AC45" s="1">
        <v>0</v>
      </c>
      <c r="AD45" t="s">
        <v>58</v>
      </c>
    </row>
    <row r="46" spans="1:30" x14ac:dyDescent="0.3">
      <c r="A46" s="2">
        <v>7469</v>
      </c>
      <c r="B46" s="3">
        <v>45477</v>
      </c>
      <c r="C46" s="2">
        <v>1018</v>
      </c>
      <c r="D46" s="2" t="s">
        <v>93</v>
      </c>
      <c r="E46" t="s">
        <v>93</v>
      </c>
      <c r="F46" t="s">
        <v>45</v>
      </c>
      <c r="G46" t="s">
        <v>55</v>
      </c>
      <c r="H46" t="s">
        <v>55</v>
      </c>
      <c r="I46" s="2">
        <v>2469</v>
      </c>
      <c r="J46" t="s">
        <v>39</v>
      </c>
      <c r="K46" t="s">
        <v>40</v>
      </c>
      <c r="L46" t="s">
        <v>61</v>
      </c>
      <c r="M46">
        <v>2024</v>
      </c>
      <c r="N46">
        <v>37</v>
      </c>
      <c r="O46" t="s">
        <v>75</v>
      </c>
      <c r="P46" s="2">
        <v>1</v>
      </c>
      <c r="Q46" s="1">
        <v>663.78</v>
      </c>
      <c r="R46" t="s">
        <v>32</v>
      </c>
      <c r="S46" s="1">
        <v>0</v>
      </c>
      <c r="T46" s="1">
        <v>663.78</v>
      </c>
      <c r="U46" s="1">
        <f t="shared" si="0"/>
        <v>663.78</v>
      </c>
      <c r="V46" s="1" t="s">
        <v>113</v>
      </c>
      <c r="W46" t="s">
        <v>57</v>
      </c>
      <c r="X46" t="s">
        <v>34</v>
      </c>
      <c r="Y46" t="s">
        <v>34</v>
      </c>
      <c r="Z46" s="2">
        <v>6</v>
      </c>
      <c r="AA46" s="2">
        <v>4</v>
      </c>
      <c r="AB46" s="1">
        <v>79.650000000000006</v>
      </c>
      <c r="AC46" s="1">
        <v>0</v>
      </c>
      <c r="AD46" t="s">
        <v>58</v>
      </c>
    </row>
    <row r="47" spans="1:30" x14ac:dyDescent="0.3">
      <c r="A47" s="2">
        <v>7470</v>
      </c>
      <c r="B47" s="3">
        <v>45437</v>
      </c>
      <c r="C47" s="2">
        <v>1048</v>
      </c>
      <c r="D47" s="2" t="s">
        <v>77</v>
      </c>
      <c r="E47" t="s">
        <v>77</v>
      </c>
      <c r="F47" t="s">
        <v>45</v>
      </c>
      <c r="G47" t="s">
        <v>55</v>
      </c>
      <c r="H47" t="s">
        <v>55</v>
      </c>
      <c r="I47" s="2">
        <v>2495</v>
      </c>
      <c r="J47" t="s">
        <v>46</v>
      </c>
      <c r="K47" t="s">
        <v>78</v>
      </c>
      <c r="L47" t="s">
        <v>61</v>
      </c>
      <c r="M47">
        <v>2022</v>
      </c>
      <c r="N47">
        <v>41</v>
      </c>
      <c r="O47" t="s">
        <v>66</v>
      </c>
      <c r="P47" s="2">
        <v>3</v>
      </c>
      <c r="Q47" s="1">
        <v>688.89</v>
      </c>
      <c r="R47" t="s">
        <v>42</v>
      </c>
      <c r="S47" s="1">
        <v>68.89</v>
      </c>
      <c r="T47" s="1">
        <v>620</v>
      </c>
      <c r="U47" s="1">
        <f t="shared" si="0"/>
        <v>620</v>
      </c>
      <c r="V47" s="1" t="s">
        <v>49</v>
      </c>
      <c r="W47" t="s">
        <v>49</v>
      </c>
      <c r="X47" t="s">
        <v>115</v>
      </c>
      <c r="Y47" t="s">
        <v>43</v>
      </c>
      <c r="Z47" s="2">
        <v>5</v>
      </c>
      <c r="AA47" s="2">
        <v>2</v>
      </c>
      <c r="AB47" s="1">
        <v>82.67</v>
      </c>
      <c r="AC47" s="1">
        <v>34.44</v>
      </c>
      <c r="AD47" t="s">
        <v>69</v>
      </c>
    </row>
    <row r="48" spans="1:30" x14ac:dyDescent="0.3">
      <c r="A48" s="2">
        <v>7471</v>
      </c>
      <c r="B48" s="3">
        <v>45449</v>
      </c>
      <c r="C48" s="2">
        <v>1058</v>
      </c>
      <c r="D48" s="2" t="s">
        <v>83</v>
      </c>
      <c r="E48" t="s">
        <v>83</v>
      </c>
      <c r="F48" t="s">
        <v>45</v>
      </c>
      <c r="G48" t="s">
        <v>109</v>
      </c>
      <c r="H48" t="s">
        <v>38</v>
      </c>
      <c r="I48" s="2">
        <v>2117</v>
      </c>
      <c r="J48" t="s">
        <v>46</v>
      </c>
      <c r="K48" t="s">
        <v>40</v>
      </c>
      <c r="L48" t="s">
        <v>61</v>
      </c>
      <c r="M48">
        <v>2023</v>
      </c>
      <c r="N48">
        <v>42</v>
      </c>
      <c r="O48" t="s">
        <v>66</v>
      </c>
      <c r="P48" s="2">
        <v>1</v>
      </c>
      <c r="Q48" s="1">
        <v>552.08000000000004</v>
      </c>
      <c r="R48" t="s">
        <v>32</v>
      </c>
      <c r="S48" s="1">
        <v>0</v>
      </c>
      <c r="T48" s="1">
        <v>552.08000000000004</v>
      </c>
      <c r="U48" s="1">
        <f t="shared" si="0"/>
        <v>552.08000000000004</v>
      </c>
      <c r="V48" s="1" t="s">
        <v>49</v>
      </c>
      <c r="W48" t="s">
        <v>49</v>
      </c>
      <c r="X48" t="s">
        <v>115</v>
      </c>
      <c r="Y48" t="s">
        <v>43</v>
      </c>
      <c r="Z48" s="2">
        <v>6</v>
      </c>
      <c r="AA48" s="2">
        <v>1</v>
      </c>
      <c r="AB48" s="1">
        <v>66.25</v>
      </c>
      <c r="AC48" s="1">
        <v>0</v>
      </c>
      <c r="AD48" t="s">
        <v>58</v>
      </c>
    </row>
    <row r="49" spans="1:30" x14ac:dyDescent="0.3">
      <c r="A49" s="2">
        <v>7472</v>
      </c>
      <c r="B49" s="3">
        <v>45686</v>
      </c>
      <c r="C49" s="2">
        <v>1050</v>
      </c>
      <c r="D49" s="2" t="s">
        <v>94</v>
      </c>
      <c r="E49" t="s">
        <v>94</v>
      </c>
      <c r="F49" t="s">
        <v>37</v>
      </c>
      <c r="G49" t="s">
        <v>55</v>
      </c>
      <c r="H49" t="s">
        <v>55</v>
      </c>
      <c r="I49" s="2">
        <v>2645</v>
      </c>
      <c r="J49" t="s">
        <v>86</v>
      </c>
      <c r="K49" t="s">
        <v>64</v>
      </c>
      <c r="L49" t="s">
        <v>61</v>
      </c>
      <c r="M49">
        <v>2023</v>
      </c>
      <c r="N49">
        <v>37</v>
      </c>
      <c r="O49" t="s">
        <v>75</v>
      </c>
      <c r="P49" s="2">
        <v>4</v>
      </c>
      <c r="Q49" s="1">
        <v>364.63</v>
      </c>
      <c r="R49" t="s">
        <v>32</v>
      </c>
      <c r="S49" s="1">
        <v>0</v>
      </c>
      <c r="T49" s="1">
        <v>364.63</v>
      </c>
      <c r="U49" s="1">
        <f t="shared" si="0"/>
        <v>364.63</v>
      </c>
      <c r="V49" s="1" t="s">
        <v>112</v>
      </c>
      <c r="W49" t="s">
        <v>33</v>
      </c>
      <c r="X49" t="s">
        <v>115</v>
      </c>
      <c r="Y49" t="s">
        <v>43</v>
      </c>
      <c r="Z49" s="2">
        <v>13</v>
      </c>
      <c r="AA49" s="2">
        <v>1</v>
      </c>
      <c r="AB49" s="1">
        <v>43.76</v>
      </c>
      <c r="AC49" s="1">
        <v>0</v>
      </c>
      <c r="AD49" t="s">
        <v>35</v>
      </c>
    </row>
    <row r="50" spans="1:30" x14ac:dyDescent="0.3">
      <c r="A50" s="2">
        <v>7473</v>
      </c>
      <c r="B50" s="3">
        <v>45545</v>
      </c>
      <c r="C50" s="2">
        <v>1029</v>
      </c>
      <c r="D50" s="2" t="s">
        <v>85</v>
      </c>
      <c r="E50" t="s">
        <v>85</v>
      </c>
      <c r="F50" t="s">
        <v>45</v>
      </c>
      <c r="G50" t="s">
        <v>109</v>
      </c>
      <c r="H50" t="s">
        <v>38</v>
      </c>
      <c r="I50" s="2">
        <v>2993</v>
      </c>
      <c r="J50" t="s">
        <v>86</v>
      </c>
      <c r="K50" t="s">
        <v>52</v>
      </c>
      <c r="L50" t="s">
        <v>30</v>
      </c>
      <c r="M50">
        <v>2024</v>
      </c>
      <c r="N50">
        <v>39</v>
      </c>
      <c r="O50" t="s">
        <v>56</v>
      </c>
      <c r="P50" s="2">
        <v>5</v>
      </c>
      <c r="Q50" s="1">
        <v>329.93</v>
      </c>
      <c r="R50" t="s">
        <v>32</v>
      </c>
      <c r="S50" s="1">
        <v>0</v>
      </c>
      <c r="T50" s="1">
        <v>329.93</v>
      </c>
      <c r="U50" s="1">
        <f t="shared" si="0"/>
        <v>329.93</v>
      </c>
      <c r="V50" s="1" t="s">
        <v>53</v>
      </c>
      <c r="W50" t="s">
        <v>53</v>
      </c>
      <c r="X50" t="s">
        <v>50</v>
      </c>
      <c r="Y50" t="s">
        <v>50</v>
      </c>
      <c r="Z50" s="2">
        <v>15</v>
      </c>
      <c r="AA50" s="2">
        <v>4</v>
      </c>
      <c r="AB50" s="1">
        <v>39.590000000000003</v>
      </c>
      <c r="AC50" s="1">
        <v>0</v>
      </c>
      <c r="AD50" t="s">
        <v>58</v>
      </c>
    </row>
    <row r="51" spans="1:30" x14ac:dyDescent="0.3">
      <c r="A51" s="2">
        <v>7474</v>
      </c>
      <c r="B51" s="3">
        <v>45590</v>
      </c>
      <c r="C51" s="2">
        <v>1098</v>
      </c>
      <c r="D51" s="2" t="s">
        <v>105</v>
      </c>
      <c r="E51" t="s">
        <v>81</v>
      </c>
      <c r="F51" t="s">
        <v>37</v>
      </c>
      <c r="G51" t="s">
        <v>109</v>
      </c>
      <c r="H51" t="s">
        <v>38</v>
      </c>
      <c r="I51" s="2">
        <v>2230</v>
      </c>
      <c r="J51" t="s">
        <v>80</v>
      </c>
      <c r="K51" t="s">
        <v>78</v>
      </c>
      <c r="L51" t="s">
        <v>41</v>
      </c>
      <c r="M51">
        <v>2022</v>
      </c>
      <c r="N51">
        <v>40</v>
      </c>
      <c r="O51" t="s">
        <v>66</v>
      </c>
      <c r="P51" s="2">
        <v>2</v>
      </c>
      <c r="Q51" s="1">
        <v>585.39</v>
      </c>
      <c r="R51" t="s">
        <v>42</v>
      </c>
      <c r="S51" s="1">
        <v>58.54</v>
      </c>
      <c r="T51" s="1">
        <v>526.85</v>
      </c>
      <c r="U51" s="1">
        <f t="shared" si="0"/>
        <v>526.85</v>
      </c>
      <c r="V51" s="1" t="s">
        <v>113</v>
      </c>
      <c r="W51" t="s">
        <v>57</v>
      </c>
      <c r="X51" t="s">
        <v>34</v>
      </c>
      <c r="Y51" t="s">
        <v>34</v>
      </c>
      <c r="Z51" s="2">
        <v>4</v>
      </c>
      <c r="AA51" s="2">
        <v>2</v>
      </c>
      <c r="AB51" s="1">
        <v>70.25</v>
      </c>
      <c r="AC51" s="1">
        <v>29.27</v>
      </c>
      <c r="AD51" t="s">
        <v>69</v>
      </c>
    </row>
    <row r="52" spans="1:30" x14ac:dyDescent="0.3">
      <c r="A52" s="2">
        <v>7475</v>
      </c>
      <c r="B52" s="3">
        <v>45769</v>
      </c>
      <c r="C52" s="2">
        <v>1077</v>
      </c>
      <c r="D52" s="2" t="s">
        <v>95</v>
      </c>
      <c r="E52" t="s">
        <v>95</v>
      </c>
      <c r="F52" t="s">
        <v>73</v>
      </c>
      <c r="G52" t="s">
        <v>55</v>
      </c>
      <c r="H52" t="s">
        <v>55</v>
      </c>
      <c r="I52" s="2">
        <v>2546</v>
      </c>
      <c r="J52" t="s">
        <v>80</v>
      </c>
      <c r="K52" t="s">
        <v>72</v>
      </c>
      <c r="L52" t="s">
        <v>41</v>
      </c>
      <c r="M52">
        <v>2023</v>
      </c>
      <c r="N52">
        <v>38</v>
      </c>
      <c r="O52" t="s">
        <v>66</v>
      </c>
      <c r="P52" s="2">
        <v>3</v>
      </c>
      <c r="Q52" s="1">
        <v>481.62</v>
      </c>
      <c r="R52" t="s">
        <v>32</v>
      </c>
      <c r="S52" s="1">
        <v>0</v>
      </c>
      <c r="T52" s="1">
        <v>481.62</v>
      </c>
      <c r="U52" s="1">
        <f t="shared" si="0"/>
        <v>481.62</v>
      </c>
      <c r="V52" s="1" t="s">
        <v>113</v>
      </c>
      <c r="W52" t="s">
        <v>57</v>
      </c>
      <c r="X52" t="s">
        <v>50</v>
      </c>
      <c r="Y52" t="s">
        <v>50</v>
      </c>
      <c r="Z52" s="2">
        <v>12</v>
      </c>
      <c r="AA52" s="2">
        <v>5</v>
      </c>
      <c r="AB52" s="1">
        <v>57.79</v>
      </c>
      <c r="AC52" s="1">
        <v>0</v>
      </c>
      <c r="AD52" t="s">
        <v>69</v>
      </c>
    </row>
    <row r="53" spans="1:30" x14ac:dyDescent="0.3">
      <c r="A53" s="2">
        <v>7476</v>
      </c>
      <c r="B53" s="3">
        <v>45445</v>
      </c>
      <c r="C53" s="2">
        <v>1038</v>
      </c>
      <c r="D53" s="2" t="s">
        <v>36</v>
      </c>
      <c r="E53" t="s">
        <v>36</v>
      </c>
      <c r="F53" t="s">
        <v>37</v>
      </c>
      <c r="G53" t="s">
        <v>109</v>
      </c>
      <c r="H53" t="s">
        <v>38</v>
      </c>
      <c r="I53" s="2">
        <v>2348</v>
      </c>
      <c r="J53" t="s">
        <v>71</v>
      </c>
      <c r="K53" t="s">
        <v>68</v>
      </c>
      <c r="L53" t="s">
        <v>30</v>
      </c>
      <c r="M53">
        <v>2024</v>
      </c>
      <c r="N53">
        <v>41</v>
      </c>
      <c r="O53" t="s">
        <v>48</v>
      </c>
      <c r="P53" s="2">
        <v>4</v>
      </c>
      <c r="Q53" s="1">
        <v>614.08000000000004</v>
      </c>
      <c r="R53" t="s">
        <v>32</v>
      </c>
      <c r="S53" s="1">
        <v>0</v>
      </c>
      <c r="T53" s="1">
        <v>614.08000000000004</v>
      </c>
      <c r="U53" s="1">
        <f t="shared" si="0"/>
        <v>614.08000000000004</v>
      </c>
      <c r="V53" s="1" t="s">
        <v>53</v>
      </c>
      <c r="W53" t="s">
        <v>53</v>
      </c>
      <c r="X53" t="s">
        <v>34</v>
      </c>
      <c r="Y53" t="s">
        <v>34</v>
      </c>
      <c r="Z53" s="2">
        <v>10</v>
      </c>
      <c r="AA53" s="2">
        <v>5</v>
      </c>
      <c r="AB53" s="1">
        <v>73.69</v>
      </c>
      <c r="AC53" s="1">
        <v>0</v>
      </c>
      <c r="AD53" t="s">
        <v>35</v>
      </c>
    </row>
    <row r="54" spans="1:30" x14ac:dyDescent="0.3">
      <c r="A54" s="2">
        <v>7477</v>
      </c>
      <c r="B54" s="3">
        <v>45730</v>
      </c>
      <c r="C54" s="2">
        <v>1079</v>
      </c>
      <c r="D54" s="2" t="s">
        <v>89</v>
      </c>
      <c r="E54" t="s">
        <v>89</v>
      </c>
      <c r="F54" t="s">
        <v>45</v>
      </c>
      <c r="G54" t="s">
        <v>109</v>
      </c>
      <c r="H54" t="s">
        <v>38</v>
      </c>
      <c r="I54" s="2">
        <v>2281</v>
      </c>
      <c r="J54" t="s">
        <v>28</v>
      </c>
      <c r="K54" t="s">
        <v>78</v>
      </c>
      <c r="L54" t="s">
        <v>30</v>
      </c>
      <c r="M54">
        <v>2022</v>
      </c>
      <c r="N54">
        <v>38</v>
      </c>
      <c r="O54" t="s">
        <v>75</v>
      </c>
      <c r="P54" s="2">
        <v>4</v>
      </c>
      <c r="Q54" s="1">
        <v>671.74</v>
      </c>
      <c r="R54" t="s">
        <v>32</v>
      </c>
      <c r="S54" s="1">
        <v>0</v>
      </c>
      <c r="T54" s="1">
        <v>671.74</v>
      </c>
      <c r="U54" s="1">
        <f t="shared" si="0"/>
        <v>671.74</v>
      </c>
      <c r="V54" s="1" t="s">
        <v>53</v>
      </c>
      <c r="W54" t="s">
        <v>53</v>
      </c>
      <c r="X54" t="s">
        <v>50</v>
      </c>
      <c r="Y54" t="s">
        <v>50</v>
      </c>
      <c r="Z54" s="2">
        <v>14</v>
      </c>
      <c r="AA54" s="2">
        <v>2</v>
      </c>
      <c r="AB54" s="1">
        <v>80.61</v>
      </c>
      <c r="AC54" s="1">
        <v>0</v>
      </c>
      <c r="AD54" t="s">
        <v>58</v>
      </c>
    </row>
    <row r="55" spans="1:30" x14ac:dyDescent="0.3">
      <c r="A55" s="2">
        <v>7478</v>
      </c>
      <c r="B55" s="3">
        <v>45779</v>
      </c>
      <c r="C55" s="2">
        <v>1085</v>
      </c>
      <c r="D55" s="2" t="s">
        <v>104</v>
      </c>
      <c r="E55" t="s">
        <v>76</v>
      </c>
      <c r="F55" t="s">
        <v>45</v>
      </c>
      <c r="G55" t="s">
        <v>109</v>
      </c>
      <c r="H55" t="s">
        <v>38</v>
      </c>
      <c r="I55" s="2">
        <v>2823</v>
      </c>
      <c r="J55" t="s">
        <v>39</v>
      </c>
      <c r="K55" t="s">
        <v>72</v>
      </c>
      <c r="L55" t="s">
        <v>30</v>
      </c>
      <c r="M55">
        <v>2024</v>
      </c>
      <c r="N55">
        <v>39</v>
      </c>
      <c r="O55" t="s">
        <v>56</v>
      </c>
      <c r="P55" s="2">
        <v>2</v>
      </c>
      <c r="Q55" s="1">
        <v>734.55</v>
      </c>
      <c r="R55" t="s">
        <v>42</v>
      </c>
      <c r="S55" s="1">
        <v>73.45</v>
      </c>
      <c r="T55" s="1">
        <v>6610999999999990</v>
      </c>
      <c r="U55" s="1">
        <f t="shared" si="0"/>
        <v>661.09999999999991</v>
      </c>
      <c r="V55" s="1" t="s">
        <v>113</v>
      </c>
      <c r="W55" t="s">
        <v>57</v>
      </c>
      <c r="X55" t="s">
        <v>50</v>
      </c>
      <c r="Y55" t="s">
        <v>50</v>
      </c>
      <c r="Z55" s="2">
        <v>5</v>
      </c>
      <c r="AA55" s="2">
        <v>2</v>
      </c>
      <c r="AB55" s="1">
        <v>88.15</v>
      </c>
      <c r="AC55" s="1">
        <v>36.729999999999997</v>
      </c>
      <c r="AD55" t="s">
        <v>69</v>
      </c>
    </row>
    <row r="56" spans="1:30" x14ac:dyDescent="0.3">
      <c r="A56" s="2">
        <v>7479</v>
      </c>
      <c r="B56" s="3">
        <v>45503</v>
      </c>
      <c r="C56" s="2">
        <v>1073</v>
      </c>
      <c r="D56" s="2" t="s">
        <v>88</v>
      </c>
      <c r="E56" t="s">
        <v>88</v>
      </c>
      <c r="F56" t="s">
        <v>26</v>
      </c>
      <c r="G56" t="s">
        <v>109</v>
      </c>
      <c r="H56" t="s">
        <v>38</v>
      </c>
      <c r="I56" s="2">
        <v>2674</v>
      </c>
      <c r="J56" t="s">
        <v>28</v>
      </c>
      <c r="K56" t="s">
        <v>78</v>
      </c>
      <c r="L56" t="s">
        <v>61</v>
      </c>
      <c r="M56">
        <v>2022</v>
      </c>
      <c r="N56">
        <v>38</v>
      </c>
      <c r="O56" t="s">
        <v>75</v>
      </c>
      <c r="P56" s="2">
        <v>2</v>
      </c>
      <c r="Q56" s="1">
        <v>413.13</v>
      </c>
      <c r="R56" t="s">
        <v>42</v>
      </c>
      <c r="S56" s="1">
        <v>41.31</v>
      </c>
      <c r="T56" s="1">
        <v>371.82</v>
      </c>
      <c r="U56" s="1">
        <f t="shared" si="0"/>
        <v>371.82</v>
      </c>
      <c r="V56" s="1" t="s">
        <v>112</v>
      </c>
      <c r="W56" t="s">
        <v>33</v>
      </c>
      <c r="X56" t="s">
        <v>34</v>
      </c>
      <c r="Y56" t="s">
        <v>34</v>
      </c>
      <c r="Z56" s="2">
        <v>9</v>
      </c>
      <c r="AA56" s="2">
        <v>4</v>
      </c>
      <c r="AB56" s="1">
        <v>49.58</v>
      </c>
      <c r="AC56" s="1">
        <v>20.66</v>
      </c>
      <c r="AD56" t="s">
        <v>58</v>
      </c>
    </row>
    <row r="57" spans="1:30" x14ac:dyDescent="0.3">
      <c r="A57" s="2">
        <v>7480</v>
      </c>
      <c r="B57" s="3">
        <v>45751</v>
      </c>
      <c r="C57" s="2">
        <v>1067</v>
      </c>
      <c r="D57" s="2" t="s">
        <v>93</v>
      </c>
      <c r="E57" t="s">
        <v>93</v>
      </c>
      <c r="F57" t="s">
        <v>60</v>
      </c>
      <c r="G57" t="s">
        <v>109</v>
      </c>
      <c r="H57" t="s">
        <v>38</v>
      </c>
      <c r="I57" s="2">
        <v>2713</v>
      </c>
      <c r="J57" t="s">
        <v>28</v>
      </c>
      <c r="K57" t="s">
        <v>29</v>
      </c>
      <c r="L57" t="s">
        <v>41</v>
      </c>
      <c r="M57">
        <v>2024</v>
      </c>
      <c r="N57">
        <v>41</v>
      </c>
      <c r="O57" t="s">
        <v>31</v>
      </c>
      <c r="P57" s="2">
        <v>4</v>
      </c>
      <c r="Q57" s="1">
        <v>497.96</v>
      </c>
      <c r="R57" t="s">
        <v>42</v>
      </c>
      <c r="S57" s="1">
        <v>49.8</v>
      </c>
      <c r="T57" s="1">
        <v>4.4815999999999904E+16</v>
      </c>
      <c r="U57" s="1">
        <f t="shared" si="0"/>
        <v>448.15999999999997</v>
      </c>
      <c r="V57" s="1" t="s">
        <v>53</v>
      </c>
      <c r="W57" t="s">
        <v>53</v>
      </c>
      <c r="X57" t="s">
        <v>115</v>
      </c>
      <c r="Y57" t="s">
        <v>43</v>
      </c>
      <c r="Z57" s="2">
        <v>2</v>
      </c>
      <c r="AA57" s="2">
        <v>4</v>
      </c>
      <c r="AB57" s="1">
        <v>59.76</v>
      </c>
      <c r="AC57" s="1">
        <v>24.9</v>
      </c>
      <c r="AD57" t="s">
        <v>58</v>
      </c>
    </row>
    <row r="58" spans="1:30" x14ac:dyDescent="0.3">
      <c r="A58" s="2">
        <v>7481</v>
      </c>
      <c r="B58" s="3">
        <v>45542</v>
      </c>
      <c r="C58" s="2">
        <v>1077</v>
      </c>
      <c r="D58" s="2" t="s">
        <v>96</v>
      </c>
      <c r="E58" t="s">
        <v>96</v>
      </c>
      <c r="F58" t="s">
        <v>73</v>
      </c>
      <c r="G58" t="s">
        <v>27</v>
      </c>
      <c r="H58" t="s">
        <v>27</v>
      </c>
      <c r="I58" s="2">
        <v>2890</v>
      </c>
      <c r="J58" t="s">
        <v>51</v>
      </c>
      <c r="K58" t="s">
        <v>52</v>
      </c>
      <c r="L58" t="s">
        <v>30</v>
      </c>
      <c r="M58">
        <v>2024</v>
      </c>
      <c r="N58">
        <v>38</v>
      </c>
      <c r="O58" t="s">
        <v>75</v>
      </c>
      <c r="P58" s="2">
        <v>2</v>
      </c>
      <c r="Q58" s="1">
        <v>522.57000000000005</v>
      </c>
      <c r="R58" t="s">
        <v>42</v>
      </c>
      <c r="S58" s="1">
        <v>52.26</v>
      </c>
      <c r="T58" s="1">
        <v>4.7031E+16</v>
      </c>
      <c r="U58" s="1">
        <f t="shared" si="0"/>
        <v>470.31000000000006</v>
      </c>
      <c r="V58" s="1" t="s">
        <v>112</v>
      </c>
      <c r="W58" t="s">
        <v>33</v>
      </c>
      <c r="X58" t="s">
        <v>115</v>
      </c>
      <c r="Y58" t="s">
        <v>43</v>
      </c>
      <c r="Z58" s="2">
        <v>14</v>
      </c>
      <c r="AA58" s="2">
        <v>5</v>
      </c>
      <c r="AB58" s="1">
        <v>62.71</v>
      </c>
      <c r="AC58" s="1">
        <v>26.13</v>
      </c>
      <c r="AD58" t="s">
        <v>58</v>
      </c>
    </row>
    <row r="59" spans="1:30" x14ac:dyDescent="0.3">
      <c r="A59" s="2">
        <v>7482</v>
      </c>
      <c r="B59" s="3">
        <v>45631</v>
      </c>
      <c r="C59" s="2">
        <v>1034</v>
      </c>
      <c r="D59" s="2" t="s">
        <v>77</v>
      </c>
      <c r="E59" t="s">
        <v>77</v>
      </c>
      <c r="F59" t="s">
        <v>73</v>
      </c>
      <c r="G59" t="s">
        <v>55</v>
      </c>
      <c r="H59" t="s">
        <v>55</v>
      </c>
      <c r="I59" s="2">
        <v>2167</v>
      </c>
      <c r="J59" t="s">
        <v>71</v>
      </c>
      <c r="K59" t="s">
        <v>29</v>
      </c>
      <c r="L59" t="s">
        <v>61</v>
      </c>
      <c r="M59">
        <v>2023</v>
      </c>
      <c r="N59">
        <v>38</v>
      </c>
      <c r="O59" t="s">
        <v>56</v>
      </c>
      <c r="P59" s="2">
        <v>3</v>
      </c>
      <c r="Q59" s="1">
        <v>334.58</v>
      </c>
      <c r="R59" t="s">
        <v>32</v>
      </c>
      <c r="S59" s="1">
        <v>0</v>
      </c>
      <c r="T59" s="1">
        <v>334.58</v>
      </c>
      <c r="U59" s="1">
        <f t="shared" si="0"/>
        <v>334.58</v>
      </c>
      <c r="V59" s="1" t="s">
        <v>112</v>
      </c>
      <c r="W59" t="s">
        <v>33</v>
      </c>
      <c r="X59" t="s">
        <v>115</v>
      </c>
      <c r="Y59" t="s">
        <v>43</v>
      </c>
      <c r="Z59" s="2">
        <v>7</v>
      </c>
      <c r="AA59" s="2">
        <v>5</v>
      </c>
      <c r="AB59" s="1">
        <v>40.15</v>
      </c>
      <c r="AC59" s="1">
        <v>0</v>
      </c>
      <c r="AD59" t="s">
        <v>69</v>
      </c>
    </row>
    <row r="60" spans="1:30" x14ac:dyDescent="0.3">
      <c r="A60" s="2">
        <v>7483</v>
      </c>
      <c r="B60" s="3">
        <v>45702</v>
      </c>
      <c r="C60" s="2">
        <v>1004</v>
      </c>
      <c r="D60" s="2" t="s">
        <v>70</v>
      </c>
      <c r="E60" t="s">
        <v>70</v>
      </c>
      <c r="F60" t="s">
        <v>60</v>
      </c>
      <c r="G60" t="s">
        <v>27</v>
      </c>
      <c r="H60" t="s">
        <v>27</v>
      </c>
      <c r="I60" s="2">
        <v>2795</v>
      </c>
      <c r="J60" t="s">
        <v>51</v>
      </c>
      <c r="K60" t="s">
        <v>52</v>
      </c>
      <c r="L60" t="s">
        <v>30</v>
      </c>
      <c r="M60">
        <v>2024</v>
      </c>
      <c r="N60">
        <v>41</v>
      </c>
      <c r="O60" t="s">
        <v>31</v>
      </c>
      <c r="P60" s="2">
        <v>2</v>
      </c>
      <c r="Q60" s="1">
        <v>457.9</v>
      </c>
      <c r="R60" t="s">
        <v>32</v>
      </c>
      <c r="S60" s="1">
        <v>0</v>
      </c>
      <c r="T60" s="1">
        <v>457.9</v>
      </c>
      <c r="U60" s="1">
        <f t="shared" si="0"/>
        <v>457.9</v>
      </c>
      <c r="V60" s="1" t="s">
        <v>113</v>
      </c>
      <c r="W60" t="s">
        <v>57</v>
      </c>
      <c r="X60" t="s">
        <v>34</v>
      </c>
      <c r="Y60" t="s">
        <v>34</v>
      </c>
      <c r="Z60" s="2">
        <v>12</v>
      </c>
      <c r="AA60" s="2">
        <v>2</v>
      </c>
      <c r="AB60" s="1">
        <v>54.95</v>
      </c>
      <c r="AC60" s="1">
        <v>0</v>
      </c>
      <c r="AD60" t="s">
        <v>58</v>
      </c>
    </row>
    <row r="61" spans="1:30" x14ac:dyDescent="0.3">
      <c r="A61" s="2">
        <v>7484</v>
      </c>
      <c r="B61" s="3">
        <v>45436</v>
      </c>
      <c r="C61" s="2">
        <v>1053</v>
      </c>
      <c r="D61" s="2" t="s">
        <v>79</v>
      </c>
      <c r="E61" t="s">
        <v>79</v>
      </c>
      <c r="F61" t="s">
        <v>26</v>
      </c>
      <c r="G61" t="s">
        <v>109</v>
      </c>
      <c r="H61" t="s">
        <v>38</v>
      </c>
      <c r="I61" s="2">
        <v>2155</v>
      </c>
      <c r="J61" t="s">
        <v>39</v>
      </c>
      <c r="K61" t="s">
        <v>68</v>
      </c>
      <c r="L61" t="s">
        <v>30</v>
      </c>
      <c r="M61">
        <v>2023</v>
      </c>
      <c r="N61">
        <v>40</v>
      </c>
      <c r="O61" t="s">
        <v>48</v>
      </c>
      <c r="P61" s="2">
        <v>4</v>
      </c>
      <c r="Q61" s="1">
        <v>797.8</v>
      </c>
      <c r="R61" t="s">
        <v>42</v>
      </c>
      <c r="S61" s="1">
        <v>79.78</v>
      </c>
      <c r="T61" s="1">
        <v>718.02</v>
      </c>
      <c r="U61" s="1">
        <f t="shared" si="0"/>
        <v>718.02</v>
      </c>
      <c r="V61" s="1" t="s">
        <v>112</v>
      </c>
      <c r="W61" t="s">
        <v>33</v>
      </c>
      <c r="X61" t="s">
        <v>115</v>
      </c>
      <c r="Y61" t="s">
        <v>43</v>
      </c>
      <c r="Z61" s="2">
        <v>10</v>
      </c>
      <c r="AA61" s="2">
        <v>3</v>
      </c>
      <c r="AB61" s="1">
        <v>95.74</v>
      </c>
      <c r="AC61" s="1">
        <v>39.89</v>
      </c>
      <c r="AD61" t="s">
        <v>58</v>
      </c>
    </row>
    <row r="62" spans="1:30" x14ac:dyDescent="0.3">
      <c r="A62" s="2">
        <v>7485</v>
      </c>
      <c r="B62" s="3">
        <v>45556</v>
      </c>
      <c r="C62" s="2">
        <v>1036</v>
      </c>
      <c r="D62" s="2" t="s">
        <v>94</v>
      </c>
      <c r="E62" t="s">
        <v>94</v>
      </c>
      <c r="F62" t="s">
        <v>60</v>
      </c>
      <c r="G62" t="s">
        <v>55</v>
      </c>
      <c r="H62" t="s">
        <v>55</v>
      </c>
      <c r="I62" s="2">
        <v>2917</v>
      </c>
      <c r="J62" t="s">
        <v>80</v>
      </c>
      <c r="K62" t="s">
        <v>47</v>
      </c>
      <c r="L62" t="s">
        <v>61</v>
      </c>
      <c r="M62">
        <v>2023</v>
      </c>
      <c r="N62">
        <v>38</v>
      </c>
      <c r="O62" t="s">
        <v>66</v>
      </c>
      <c r="P62" s="2">
        <v>5</v>
      </c>
      <c r="Q62" s="1">
        <v>318.69</v>
      </c>
      <c r="R62" t="s">
        <v>32</v>
      </c>
      <c r="S62" s="1">
        <v>0</v>
      </c>
      <c r="T62" s="1">
        <v>318.69</v>
      </c>
      <c r="U62" s="1">
        <f t="shared" si="0"/>
        <v>318.69</v>
      </c>
      <c r="V62" s="1" t="s">
        <v>49</v>
      </c>
      <c r="W62" t="s">
        <v>49</v>
      </c>
      <c r="X62" t="s">
        <v>34</v>
      </c>
      <c r="Y62" t="s">
        <v>34</v>
      </c>
      <c r="Z62" s="2">
        <v>2</v>
      </c>
      <c r="AA62" s="2">
        <v>3</v>
      </c>
      <c r="AB62" s="1">
        <v>38.24</v>
      </c>
      <c r="AC62" s="1">
        <v>0</v>
      </c>
      <c r="AD62" t="s">
        <v>35</v>
      </c>
    </row>
    <row r="63" spans="1:30" x14ac:dyDescent="0.3">
      <c r="A63" s="2">
        <v>7486</v>
      </c>
      <c r="B63" s="3">
        <v>45612</v>
      </c>
      <c r="C63" s="2">
        <v>1004</v>
      </c>
      <c r="D63" s="2" t="s">
        <v>59</v>
      </c>
      <c r="E63" t="s">
        <v>59</v>
      </c>
      <c r="F63" t="s">
        <v>37</v>
      </c>
      <c r="G63" t="s">
        <v>55</v>
      </c>
      <c r="H63" t="s">
        <v>55</v>
      </c>
      <c r="I63" s="2">
        <v>2497</v>
      </c>
      <c r="J63" t="s">
        <v>51</v>
      </c>
      <c r="K63" t="s">
        <v>72</v>
      </c>
      <c r="L63" t="s">
        <v>61</v>
      </c>
      <c r="M63">
        <v>2022</v>
      </c>
      <c r="N63">
        <v>38</v>
      </c>
      <c r="O63" t="s">
        <v>56</v>
      </c>
      <c r="P63" s="2">
        <v>3</v>
      </c>
      <c r="Q63" s="1">
        <v>783.46</v>
      </c>
      <c r="R63" t="s">
        <v>42</v>
      </c>
      <c r="S63" s="1">
        <v>78.349999999999994</v>
      </c>
      <c r="T63" s="1">
        <v>705.11</v>
      </c>
      <c r="U63" s="1">
        <f t="shared" si="0"/>
        <v>705.11</v>
      </c>
      <c r="V63" s="1" t="s">
        <v>112</v>
      </c>
      <c r="W63" t="s">
        <v>33</v>
      </c>
      <c r="X63" t="s">
        <v>115</v>
      </c>
      <c r="Y63" t="s">
        <v>43</v>
      </c>
      <c r="Z63" s="2">
        <v>11</v>
      </c>
      <c r="AA63" s="2">
        <v>2</v>
      </c>
      <c r="AB63" s="1">
        <v>94.02</v>
      </c>
      <c r="AC63" s="1">
        <v>39.17</v>
      </c>
      <c r="AD63" t="s">
        <v>35</v>
      </c>
    </row>
    <row r="64" spans="1:30" x14ac:dyDescent="0.3">
      <c r="A64" s="2">
        <v>7487</v>
      </c>
      <c r="B64" s="3">
        <v>45541</v>
      </c>
      <c r="C64" s="2">
        <v>1032</v>
      </c>
      <c r="D64" s="2" t="s">
        <v>100</v>
      </c>
      <c r="E64" t="s">
        <v>25</v>
      </c>
      <c r="F64" t="s">
        <v>60</v>
      </c>
      <c r="G64" t="s">
        <v>27</v>
      </c>
      <c r="H64" t="s">
        <v>27</v>
      </c>
      <c r="I64" s="2">
        <v>2998</v>
      </c>
      <c r="J64" t="s">
        <v>86</v>
      </c>
      <c r="K64" t="s">
        <v>68</v>
      </c>
      <c r="L64" t="s">
        <v>30</v>
      </c>
      <c r="M64">
        <v>2023</v>
      </c>
      <c r="N64">
        <v>41</v>
      </c>
      <c r="O64" t="s">
        <v>75</v>
      </c>
      <c r="P64" s="2">
        <v>3</v>
      </c>
      <c r="Q64" s="1">
        <v>763.78</v>
      </c>
      <c r="R64" t="s">
        <v>42</v>
      </c>
      <c r="S64" s="1">
        <v>76.38</v>
      </c>
      <c r="T64" s="1">
        <v>687.4</v>
      </c>
      <c r="U64" s="1">
        <f t="shared" si="0"/>
        <v>687.4</v>
      </c>
      <c r="V64" s="1" t="s">
        <v>53</v>
      </c>
      <c r="W64" t="s">
        <v>53</v>
      </c>
      <c r="X64" t="s">
        <v>34</v>
      </c>
      <c r="Y64" t="s">
        <v>34</v>
      </c>
      <c r="Z64" s="2">
        <v>7</v>
      </c>
      <c r="AA64" s="2">
        <v>5</v>
      </c>
      <c r="AB64" s="1">
        <v>91.65</v>
      </c>
      <c r="AC64" s="1">
        <v>38.19</v>
      </c>
      <c r="AD64" t="s">
        <v>35</v>
      </c>
    </row>
    <row r="65" spans="1:30" x14ac:dyDescent="0.3">
      <c r="A65" s="2">
        <v>7488</v>
      </c>
      <c r="B65" s="3">
        <v>45563</v>
      </c>
      <c r="C65" s="2">
        <v>1010</v>
      </c>
      <c r="D65" s="2" t="s">
        <v>106</v>
      </c>
      <c r="E65" t="s">
        <v>97</v>
      </c>
      <c r="F65" t="s">
        <v>60</v>
      </c>
      <c r="G65" t="s">
        <v>109</v>
      </c>
      <c r="H65" t="s">
        <v>38</v>
      </c>
      <c r="I65" s="2">
        <v>2280</v>
      </c>
      <c r="J65" t="s">
        <v>71</v>
      </c>
      <c r="K65" t="s">
        <v>29</v>
      </c>
      <c r="L65" t="s">
        <v>30</v>
      </c>
      <c r="M65">
        <v>2024</v>
      </c>
      <c r="N65">
        <v>40</v>
      </c>
      <c r="O65" t="s">
        <v>48</v>
      </c>
      <c r="P65" s="2">
        <v>1</v>
      </c>
      <c r="Q65" s="1">
        <v>418.56</v>
      </c>
      <c r="R65" t="s">
        <v>42</v>
      </c>
      <c r="S65" s="1">
        <v>41.86</v>
      </c>
      <c r="T65" s="1">
        <v>376.7</v>
      </c>
      <c r="U65" s="1">
        <f t="shared" si="0"/>
        <v>376.7</v>
      </c>
      <c r="V65" s="1" t="s">
        <v>113</v>
      </c>
      <c r="W65" t="s">
        <v>57</v>
      </c>
      <c r="X65" t="s">
        <v>34</v>
      </c>
      <c r="Y65" t="s">
        <v>34</v>
      </c>
      <c r="Z65" s="2">
        <v>14</v>
      </c>
      <c r="AA65" s="2">
        <v>2</v>
      </c>
      <c r="AB65" s="1">
        <v>50.23</v>
      </c>
      <c r="AC65" s="1">
        <v>20.93</v>
      </c>
      <c r="AD65" t="s">
        <v>69</v>
      </c>
    </row>
    <row r="66" spans="1:30" x14ac:dyDescent="0.3">
      <c r="A66" s="2">
        <v>7489</v>
      </c>
      <c r="B66" s="3">
        <v>45532</v>
      </c>
      <c r="C66" s="2">
        <v>1049</v>
      </c>
      <c r="D66" s="2" t="s">
        <v>77</v>
      </c>
      <c r="E66" t="s">
        <v>77</v>
      </c>
      <c r="F66" t="s">
        <v>73</v>
      </c>
      <c r="G66" t="s">
        <v>55</v>
      </c>
      <c r="H66" t="s">
        <v>55</v>
      </c>
      <c r="I66" s="2">
        <v>2703</v>
      </c>
      <c r="J66" t="s">
        <v>80</v>
      </c>
      <c r="K66" t="s">
        <v>40</v>
      </c>
      <c r="L66" t="s">
        <v>41</v>
      </c>
      <c r="M66">
        <v>2022</v>
      </c>
      <c r="N66">
        <v>42</v>
      </c>
      <c r="O66" t="s">
        <v>31</v>
      </c>
      <c r="P66" s="2">
        <v>4</v>
      </c>
      <c r="Q66" s="1">
        <v>591.28</v>
      </c>
      <c r="R66" t="s">
        <v>42</v>
      </c>
      <c r="S66" s="1">
        <v>59.13</v>
      </c>
      <c r="T66" s="1">
        <v>532.15</v>
      </c>
      <c r="U66" s="1">
        <f t="shared" si="0"/>
        <v>532.15</v>
      </c>
      <c r="V66" s="1" t="s">
        <v>53</v>
      </c>
      <c r="W66" t="s">
        <v>53</v>
      </c>
      <c r="X66" t="s">
        <v>50</v>
      </c>
      <c r="Y66" t="s">
        <v>50</v>
      </c>
      <c r="Z66" s="2">
        <v>13</v>
      </c>
      <c r="AA66" s="2">
        <v>5</v>
      </c>
      <c r="AB66" s="1">
        <v>70.95</v>
      </c>
      <c r="AC66" s="1">
        <v>29.56</v>
      </c>
      <c r="AD66" t="s">
        <v>69</v>
      </c>
    </row>
    <row r="67" spans="1:30" x14ac:dyDescent="0.3">
      <c r="A67" s="2">
        <v>7490</v>
      </c>
      <c r="B67" s="3">
        <v>45616</v>
      </c>
      <c r="C67" s="2">
        <v>1022</v>
      </c>
      <c r="D67" s="2" t="s">
        <v>106</v>
      </c>
      <c r="E67" t="s">
        <v>97</v>
      </c>
      <c r="F67" t="s">
        <v>60</v>
      </c>
      <c r="G67" t="s">
        <v>109</v>
      </c>
      <c r="H67" t="s">
        <v>38</v>
      </c>
      <c r="I67" s="2">
        <v>2758</v>
      </c>
      <c r="J67" t="s">
        <v>63</v>
      </c>
      <c r="K67" t="s">
        <v>52</v>
      </c>
      <c r="L67" t="s">
        <v>41</v>
      </c>
      <c r="M67">
        <v>2023</v>
      </c>
      <c r="N67">
        <v>42</v>
      </c>
      <c r="O67" t="s">
        <v>66</v>
      </c>
      <c r="P67" s="2">
        <v>2</v>
      </c>
      <c r="Q67" s="1">
        <v>408.87</v>
      </c>
      <c r="R67" t="s">
        <v>32</v>
      </c>
      <c r="S67" s="1">
        <v>0</v>
      </c>
      <c r="T67" s="1">
        <v>408.87</v>
      </c>
      <c r="U67" s="1">
        <f t="shared" si="0"/>
        <v>408.87</v>
      </c>
      <c r="V67" s="1" t="s">
        <v>49</v>
      </c>
      <c r="W67" t="s">
        <v>49</v>
      </c>
      <c r="X67" t="s">
        <v>115</v>
      </c>
      <c r="Y67" t="s">
        <v>43</v>
      </c>
      <c r="Z67" s="2">
        <v>9</v>
      </c>
      <c r="AA67" s="2">
        <v>3</v>
      </c>
      <c r="AB67" s="1">
        <v>49.06</v>
      </c>
      <c r="AC67" s="1">
        <v>0</v>
      </c>
      <c r="AD67" t="s">
        <v>69</v>
      </c>
    </row>
    <row r="68" spans="1:30" x14ac:dyDescent="0.3">
      <c r="A68" s="2">
        <v>7491</v>
      </c>
      <c r="B68" s="3">
        <v>45640</v>
      </c>
      <c r="C68" s="2">
        <v>1093</v>
      </c>
      <c r="D68" s="2" t="s">
        <v>96</v>
      </c>
      <c r="E68" t="s">
        <v>96</v>
      </c>
      <c r="F68" t="s">
        <v>37</v>
      </c>
      <c r="G68" t="s">
        <v>109</v>
      </c>
      <c r="H68" t="s">
        <v>38</v>
      </c>
      <c r="I68" s="2">
        <v>2856</v>
      </c>
      <c r="J68" t="s">
        <v>28</v>
      </c>
      <c r="K68" t="s">
        <v>29</v>
      </c>
      <c r="L68" t="s">
        <v>30</v>
      </c>
      <c r="M68">
        <v>2023</v>
      </c>
      <c r="N68">
        <v>41</v>
      </c>
      <c r="O68" t="s">
        <v>31</v>
      </c>
      <c r="P68" s="2">
        <v>4</v>
      </c>
      <c r="Q68" s="1">
        <v>520.41999999999996</v>
      </c>
      <c r="R68" t="s">
        <v>32</v>
      </c>
      <c r="S68" s="1">
        <v>0</v>
      </c>
      <c r="T68" s="1">
        <v>520.41999999999996</v>
      </c>
      <c r="U68" s="1">
        <f t="shared" ref="U68:U131" si="1">Q68-S68</f>
        <v>520.41999999999996</v>
      </c>
      <c r="V68" s="1" t="s">
        <v>112</v>
      </c>
      <c r="W68" t="s">
        <v>33</v>
      </c>
      <c r="X68" t="s">
        <v>50</v>
      </c>
      <c r="Y68" t="s">
        <v>50</v>
      </c>
      <c r="Z68" s="2">
        <v>11</v>
      </c>
      <c r="AA68" s="2">
        <v>1</v>
      </c>
      <c r="AB68" s="1">
        <v>62.45</v>
      </c>
      <c r="AC68" s="1">
        <v>0</v>
      </c>
      <c r="AD68" t="s">
        <v>58</v>
      </c>
    </row>
    <row r="69" spans="1:30" x14ac:dyDescent="0.3">
      <c r="A69" s="2">
        <v>7492</v>
      </c>
      <c r="B69" s="3">
        <v>45573</v>
      </c>
      <c r="C69" s="2">
        <v>1062</v>
      </c>
      <c r="D69" s="2" t="s">
        <v>79</v>
      </c>
      <c r="E69" t="s">
        <v>79</v>
      </c>
      <c r="F69" t="s">
        <v>45</v>
      </c>
      <c r="G69" t="s">
        <v>55</v>
      </c>
      <c r="H69" t="s">
        <v>55</v>
      </c>
      <c r="I69" s="2">
        <v>2995</v>
      </c>
      <c r="J69" t="s">
        <v>63</v>
      </c>
      <c r="K69" t="s">
        <v>29</v>
      </c>
      <c r="L69" t="s">
        <v>30</v>
      </c>
      <c r="M69">
        <v>2022</v>
      </c>
      <c r="N69">
        <v>38</v>
      </c>
      <c r="O69" t="s">
        <v>48</v>
      </c>
      <c r="P69" s="2">
        <v>4</v>
      </c>
      <c r="Q69" s="1">
        <v>711.69</v>
      </c>
      <c r="R69" t="s">
        <v>42</v>
      </c>
      <c r="S69" s="1">
        <v>71.17</v>
      </c>
      <c r="T69" s="1">
        <v>6405200000000000</v>
      </c>
      <c r="U69" s="1">
        <f t="shared" si="1"/>
        <v>640.5200000000001</v>
      </c>
      <c r="V69" s="1" t="s">
        <v>113</v>
      </c>
      <c r="W69" t="s">
        <v>57</v>
      </c>
      <c r="X69" t="s">
        <v>115</v>
      </c>
      <c r="Y69" t="s">
        <v>43</v>
      </c>
      <c r="Z69" s="2">
        <v>3</v>
      </c>
      <c r="AA69" s="2">
        <v>5</v>
      </c>
      <c r="AB69" s="1">
        <v>85.4</v>
      </c>
      <c r="AC69" s="1">
        <v>35.58</v>
      </c>
      <c r="AD69" t="s">
        <v>58</v>
      </c>
    </row>
    <row r="70" spans="1:30" x14ac:dyDescent="0.3">
      <c r="A70" s="2">
        <v>7493</v>
      </c>
      <c r="B70" s="3">
        <v>45529</v>
      </c>
      <c r="C70" s="2">
        <v>1091</v>
      </c>
      <c r="D70" s="2" t="s">
        <v>106</v>
      </c>
      <c r="E70" t="s">
        <v>97</v>
      </c>
      <c r="F70" t="s">
        <v>73</v>
      </c>
      <c r="G70" t="s">
        <v>27</v>
      </c>
      <c r="H70" t="s">
        <v>27</v>
      </c>
      <c r="I70" s="2">
        <v>2257</v>
      </c>
      <c r="J70" t="s">
        <v>86</v>
      </c>
      <c r="K70" t="s">
        <v>68</v>
      </c>
      <c r="L70" t="s">
        <v>61</v>
      </c>
      <c r="M70">
        <v>2023</v>
      </c>
      <c r="N70">
        <v>38</v>
      </c>
      <c r="O70" t="s">
        <v>66</v>
      </c>
      <c r="P70" s="2">
        <v>1</v>
      </c>
      <c r="Q70" s="1">
        <v>704.07</v>
      </c>
      <c r="R70" t="s">
        <v>32</v>
      </c>
      <c r="S70" s="1">
        <v>0</v>
      </c>
      <c r="T70" s="1">
        <v>704.07</v>
      </c>
      <c r="U70" s="1">
        <f t="shared" si="1"/>
        <v>704.07</v>
      </c>
      <c r="V70" s="1" t="s">
        <v>49</v>
      </c>
      <c r="W70" t="s">
        <v>49</v>
      </c>
      <c r="X70" t="s">
        <v>115</v>
      </c>
      <c r="Y70" t="s">
        <v>43</v>
      </c>
      <c r="Z70" s="2">
        <v>15</v>
      </c>
      <c r="AA70" s="2">
        <v>5</v>
      </c>
      <c r="AB70" s="1">
        <v>84.49</v>
      </c>
      <c r="AC70" s="1">
        <v>0</v>
      </c>
      <c r="AD70" t="s">
        <v>69</v>
      </c>
    </row>
    <row r="71" spans="1:30" x14ac:dyDescent="0.3">
      <c r="A71" s="2">
        <v>7494</v>
      </c>
      <c r="B71" s="3">
        <v>45746</v>
      </c>
      <c r="C71" s="2">
        <v>1061</v>
      </c>
      <c r="D71" s="2" t="s">
        <v>96</v>
      </c>
      <c r="E71" t="s">
        <v>96</v>
      </c>
      <c r="F71" t="s">
        <v>60</v>
      </c>
      <c r="G71" t="s">
        <v>55</v>
      </c>
      <c r="H71" t="s">
        <v>55</v>
      </c>
      <c r="I71" s="2">
        <v>2357</v>
      </c>
      <c r="J71" t="s">
        <v>39</v>
      </c>
      <c r="K71" t="s">
        <v>72</v>
      </c>
      <c r="L71" t="s">
        <v>61</v>
      </c>
      <c r="M71">
        <v>2022</v>
      </c>
      <c r="N71">
        <v>39</v>
      </c>
      <c r="O71" t="s">
        <v>31</v>
      </c>
      <c r="P71" s="2">
        <v>1</v>
      </c>
      <c r="Q71" s="1">
        <v>363.58</v>
      </c>
      <c r="R71" t="s">
        <v>32</v>
      </c>
      <c r="S71" s="1">
        <v>0</v>
      </c>
      <c r="T71" s="1">
        <v>363.58</v>
      </c>
      <c r="U71" s="1">
        <f t="shared" si="1"/>
        <v>363.58</v>
      </c>
      <c r="V71" s="1" t="s">
        <v>112</v>
      </c>
      <c r="W71" t="s">
        <v>33</v>
      </c>
      <c r="X71" t="s">
        <v>34</v>
      </c>
      <c r="Y71" t="s">
        <v>34</v>
      </c>
      <c r="Z71" s="2">
        <v>2</v>
      </c>
      <c r="AA71" s="2">
        <v>2</v>
      </c>
      <c r="AB71" s="1">
        <v>43.63</v>
      </c>
      <c r="AC71" s="1">
        <v>0</v>
      </c>
      <c r="AD71" t="s">
        <v>58</v>
      </c>
    </row>
    <row r="72" spans="1:30" x14ac:dyDescent="0.3">
      <c r="A72" s="2">
        <v>7495</v>
      </c>
      <c r="B72" s="3">
        <v>45714</v>
      </c>
      <c r="C72" s="2">
        <v>1002</v>
      </c>
      <c r="D72" s="2" t="s">
        <v>88</v>
      </c>
      <c r="E72" t="s">
        <v>88</v>
      </c>
      <c r="F72" t="s">
        <v>37</v>
      </c>
      <c r="G72" t="s">
        <v>55</v>
      </c>
      <c r="H72" t="s">
        <v>55</v>
      </c>
      <c r="I72" s="2">
        <v>2076</v>
      </c>
      <c r="J72" t="s">
        <v>28</v>
      </c>
      <c r="K72" t="s">
        <v>29</v>
      </c>
      <c r="L72" t="s">
        <v>30</v>
      </c>
      <c r="M72">
        <v>2024</v>
      </c>
      <c r="N72">
        <v>38</v>
      </c>
      <c r="O72" t="s">
        <v>31</v>
      </c>
      <c r="P72" s="2">
        <v>4</v>
      </c>
      <c r="Q72" s="1">
        <v>366.43</v>
      </c>
      <c r="R72" t="s">
        <v>42</v>
      </c>
      <c r="S72" s="1">
        <v>36.64</v>
      </c>
      <c r="T72" s="1">
        <v>329.79</v>
      </c>
      <c r="U72" s="1">
        <f t="shared" si="1"/>
        <v>329.79</v>
      </c>
      <c r="V72" s="1" t="s">
        <v>49</v>
      </c>
      <c r="W72" t="s">
        <v>49</v>
      </c>
      <c r="X72" t="s">
        <v>50</v>
      </c>
      <c r="Y72" t="s">
        <v>50</v>
      </c>
      <c r="Z72" s="2">
        <v>12</v>
      </c>
      <c r="AA72" s="2">
        <v>1</v>
      </c>
      <c r="AB72" s="1">
        <v>43.97</v>
      </c>
      <c r="AC72" s="1">
        <v>18.32</v>
      </c>
      <c r="AD72" t="s">
        <v>58</v>
      </c>
    </row>
    <row r="73" spans="1:30" x14ac:dyDescent="0.3">
      <c r="A73" s="2">
        <v>7496</v>
      </c>
      <c r="B73" s="3">
        <v>45692</v>
      </c>
      <c r="C73" s="2">
        <v>1069</v>
      </c>
      <c r="D73" s="2" t="s">
        <v>88</v>
      </c>
      <c r="E73" t="s">
        <v>88</v>
      </c>
      <c r="F73" t="s">
        <v>26</v>
      </c>
      <c r="G73" t="s">
        <v>55</v>
      </c>
      <c r="H73" t="s">
        <v>55</v>
      </c>
      <c r="I73" s="2">
        <v>2776</v>
      </c>
      <c r="J73" t="s">
        <v>28</v>
      </c>
      <c r="K73" t="s">
        <v>78</v>
      </c>
      <c r="L73" t="s">
        <v>41</v>
      </c>
      <c r="M73">
        <v>2023</v>
      </c>
      <c r="N73">
        <v>39</v>
      </c>
      <c r="O73" t="s">
        <v>48</v>
      </c>
      <c r="P73" s="2">
        <v>4</v>
      </c>
      <c r="Q73" s="1">
        <v>745.49</v>
      </c>
      <c r="R73" t="s">
        <v>42</v>
      </c>
      <c r="S73" s="1">
        <v>74.55</v>
      </c>
      <c r="T73" s="1">
        <v>670.94</v>
      </c>
      <c r="U73" s="1">
        <f t="shared" si="1"/>
        <v>670.94</v>
      </c>
      <c r="V73" s="1" t="s">
        <v>49</v>
      </c>
      <c r="W73" t="s">
        <v>49</v>
      </c>
      <c r="X73" t="s">
        <v>50</v>
      </c>
      <c r="Y73" t="s">
        <v>50</v>
      </c>
      <c r="Z73" s="2">
        <v>9</v>
      </c>
      <c r="AA73" s="2">
        <v>5</v>
      </c>
      <c r="AB73" s="1">
        <v>89.46</v>
      </c>
      <c r="AC73" s="1">
        <v>37.270000000000003</v>
      </c>
      <c r="AD73" t="s">
        <v>58</v>
      </c>
    </row>
    <row r="74" spans="1:30" x14ac:dyDescent="0.3">
      <c r="A74" s="2">
        <v>7497</v>
      </c>
      <c r="B74" s="3">
        <v>45462</v>
      </c>
      <c r="C74" s="2">
        <v>1100</v>
      </c>
      <c r="D74" s="2" t="s">
        <v>88</v>
      </c>
      <c r="E74" t="s">
        <v>88</v>
      </c>
      <c r="F74" t="s">
        <v>37</v>
      </c>
      <c r="G74" t="s">
        <v>109</v>
      </c>
      <c r="H74" t="s">
        <v>38</v>
      </c>
      <c r="I74" s="2">
        <v>2777</v>
      </c>
      <c r="J74" t="s">
        <v>80</v>
      </c>
      <c r="K74" t="s">
        <v>29</v>
      </c>
      <c r="L74" t="s">
        <v>61</v>
      </c>
      <c r="M74">
        <v>2024</v>
      </c>
      <c r="N74">
        <v>41</v>
      </c>
      <c r="O74" t="s">
        <v>56</v>
      </c>
      <c r="P74" s="2">
        <v>5</v>
      </c>
      <c r="Q74" s="1">
        <v>644.96</v>
      </c>
      <c r="R74" t="s">
        <v>42</v>
      </c>
      <c r="S74" s="1">
        <v>64.5</v>
      </c>
      <c r="T74" s="1">
        <v>580.46</v>
      </c>
      <c r="U74" s="1">
        <f t="shared" si="1"/>
        <v>580.46</v>
      </c>
      <c r="V74" s="1" t="s">
        <v>113</v>
      </c>
      <c r="W74" t="s">
        <v>57</v>
      </c>
      <c r="X74" t="s">
        <v>50</v>
      </c>
      <c r="Y74" t="s">
        <v>50</v>
      </c>
      <c r="Z74" s="2">
        <v>7</v>
      </c>
      <c r="AA74" s="2">
        <v>1</v>
      </c>
      <c r="AB74" s="1">
        <v>77.400000000000006</v>
      </c>
      <c r="AC74" s="1">
        <v>32.25</v>
      </c>
      <c r="AD74" t="s">
        <v>58</v>
      </c>
    </row>
    <row r="75" spans="1:30" x14ac:dyDescent="0.3">
      <c r="A75" s="2">
        <v>7498</v>
      </c>
      <c r="B75" s="3">
        <v>45724</v>
      </c>
      <c r="C75" s="2">
        <v>1057</v>
      </c>
      <c r="D75" s="2" t="s">
        <v>103</v>
      </c>
      <c r="E75" t="s">
        <v>74</v>
      </c>
      <c r="F75" t="s">
        <v>37</v>
      </c>
      <c r="G75" t="s">
        <v>27</v>
      </c>
      <c r="H75" t="s">
        <v>27</v>
      </c>
      <c r="I75" s="2">
        <v>2573</v>
      </c>
      <c r="J75" t="s">
        <v>63</v>
      </c>
      <c r="K75" t="s">
        <v>78</v>
      </c>
      <c r="L75" t="s">
        <v>61</v>
      </c>
      <c r="M75">
        <v>2024</v>
      </c>
      <c r="N75">
        <v>37</v>
      </c>
      <c r="O75" t="s">
        <v>66</v>
      </c>
      <c r="P75" s="2">
        <v>3</v>
      </c>
      <c r="Q75" s="1">
        <v>513.92999999999995</v>
      </c>
      <c r="R75" t="s">
        <v>32</v>
      </c>
      <c r="S75" s="1">
        <v>0</v>
      </c>
      <c r="T75" s="1">
        <v>513.92999999999995</v>
      </c>
      <c r="U75" s="1">
        <f t="shared" si="1"/>
        <v>513.92999999999995</v>
      </c>
      <c r="V75" s="1" t="s">
        <v>49</v>
      </c>
      <c r="W75" t="s">
        <v>49</v>
      </c>
      <c r="X75" t="s">
        <v>115</v>
      </c>
      <c r="Y75" t="s">
        <v>43</v>
      </c>
      <c r="Z75" s="2">
        <v>4</v>
      </c>
      <c r="AA75" s="2">
        <v>5</v>
      </c>
      <c r="AB75" s="1">
        <v>61.67</v>
      </c>
      <c r="AC75" s="1">
        <v>0</v>
      </c>
      <c r="AD75" t="s">
        <v>35</v>
      </c>
    </row>
    <row r="76" spans="1:30" x14ac:dyDescent="0.3">
      <c r="A76" s="2">
        <v>7499</v>
      </c>
      <c r="B76" s="3">
        <v>45791</v>
      </c>
      <c r="C76" s="2">
        <v>1008</v>
      </c>
      <c r="D76" s="2" t="s">
        <v>87</v>
      </c>
      <c r="E76" t="s">
        <v>87</v>
      </c>
      <c r="F76" t="s">
        <v>60</v>
      </c>
      <c r="G76" t="s">
        <v>55</v>
      </c>
      <c r="H76" t="s">
        <v>55</v>
      </c>
      <c r="I76" s="2">
        <v>2188</v>
      </c>
      <c r="J76" t="s">
        <v>86</v>
      </c>
      <c r="K76" t="s">
        <v>68</v>
      </c>
      <c r="L76" t="s">
        <v>61</v>
      </c>
      <c r="M76">
        <v>2024</v>
      </c>
      <c r="N76">
        <v>39</v>
      </c>
      <c r="O76" t="s">
        <v>75</v>
      </c>
      <c r="P76" s="2">
        <v>5</v>
      </c>
      <c r="Q76" s="1">
        <v>448.12</v>
      </c>
      <c r="R76" t="s">
        <v>42</v>
      </c>
      <c r="S76" s="1">
        <v>44.81</v>
      </c>
      <c r="T76" s="1">
        <v>403.31</v>
      </c>
      <c r="U76" s="1">
        <f t="shared" si="1"/>
        <v>403.31</v>
      </c>
      <c r="V76" s="1" t="s">
        <v>113</v>
      </c>
      <c r="W76" t="s">
        <v>57</v>
      </c>
      <c r="X76" t="s">
        <v>50</v>
      </c>
      <c r="Y76" t="s">
        <v>50</v>
      </c>
      <c r="Z76" s="2">
        <v>4</v>
      </c>
      <c r="AA76" s="2">
        <v>4</v>
      </c>
      <c r="AB76" s="1">
        <v>53.77</v>
      </c>
      <c r="AC76" s="1">
        <v>22.41</v>
      </c>
      <c r="AD76" t="s">
        <v>69</v>
      </c>
    </row>
    <row r="77" spans="1:30" x14ac:dyDescent="0.3">
      <c r="A77" s="2">
        <v>7500</v>
      </c>
      <c r="B77" s="3">
        <v>45761</v>
      </c>
      <c r="C77" s="2">
        <v>1053</v>
      </c>
      <c r="D77" s="2" t="s">
        <v>106</v>
      </c>
      <c r="E77" t="s">
        <v>97</v>
      </c>
      <c r="F77" t="s">
        <v>26</v>
      </c>
      <c r="G77" t="s">
        <v>27</v>
      </c>
      <c r="H77" t="s">
        <v>27</v>
      </c>
      <c r="I77" s="2">
        <v>2154</v>
      </c>
      <c r="J77" t="s">
        <v>80</v>
      </c>
      <c r="K77" t="s">
        <v>72</v>
      </c>
      <c r="L77" t="s">
        <v>30</v>
      </c>
      <c r="M77">
        <v>2022</v>
      </c>
      <c r="N77">
        <v>37</v>
      </c>
      <c r="O77" t="s">
        <v>56</v>
      </c>
      <c r="P77" s="2">
        <v>4</v>
      </c>
      <c r="Q77" s="1">
        <v>392.6</v>
      </c>
      <c r="R77" t="s">
        <v>42</v>
      </c>
      <c r="S77" s="1">
        <v>39.26</v>
      </c>
      <c r="T77" s="1">
        <v>3.5334E+16</v>
      </c>
      <c r="U77" s="1">
        <f t="shared" si="1"/>
        <v>353.34000000000003</v>
      </c>
      <c r="V77" s="1" t="s">
        <v>112</v>
      </c>
      <c r="W77" t="s">
        <v>33</v>
      </c>
      <c r="X77" t="s">
        <v>115</v>
      </c>
      <c r="Y77" t="s">
        <v>43</v>
      </c>
      <c r="Z77" s="2">
        <v>14</v>
      </c>
      <c r="AA77" s="2">
        <v>3</v>
      </c>
      <c r="AB77" s="1">
        <v>47.11</v>
      </c>
      <c r="AC77" s="1">
        <v>19.63</v>
      </c>
      <c r="AD77" t="s">
        <v>69</v>
      </c>
    </row>
    <row r="78" spans="1:30" x14ac:dyDescent="0.3">
      <c r="A78" s="2">
        <v>7501</v>
      </c>
      <c r="B78" s="3">
        <v>45459</v>
      </c>
      <c r="C78" s="2">
        <v>1059</v>
      </c>
      <c r="D78" s="2" t="s">
        <v>79</v>
      </c>
      <c r="E78" t="s">
        <v>79</v>
      </c>
      <c r="F78" t="s">
        <v>60</v>
      </c>
      <c r="G78" t="s">
        <v>109</v>
      </c>
      <c r="H78" t="s">
        <v>38</v>
      </c>
      <c r="I78" s="2">
        <v>2043</v>
      </c>
      <c r="J78" t="s">
        <v>28</v>
      </c>
      <c r="K78" t="s">
        <v>52</v>
      </c>
      <c r="L78" t="s">
        <v>30</v>
      </c>
      <c r="M78">
        <v>2024</v>
      </c>
      <c r="N78">
        <v>37</v>
      </c>
      <c r="O78" t="s">
        <v>56</v>
      </c>
      <c r="P78" s="2">
        <v>2</v>
      </c>
      <c r="Q78" s="1">
        <v>547.29999999999995</v>
      </c>
      <c r="R78" t="s">
        <v>32</v>
      </c>
      <c r="S78" s="1">
        <v>0</v>
      </c>
      <c r="T78" s="1">
        <v>547.29999999999995</v>
      </c>
      <c r="U78" s="1">
        <f t="shared" si="1"/>
        <v>547.29999999999995</v>
      </c>
      <c r="V78" s="1" t="s">
        <v>53</v>
      </c>
      <c r="W78" t="s">
        <v>53</v>
      </c>
      <c r="X78" t="s">
        <v>115</v>
      </c>
      <c r="Y78" t="s">
        <v>43</v>
      </c>
      <c r="Z78" s="2">
        <v>10</v>
      </c>
      <c r="AA78" s="2">
        <v>2</v>
      </c>
      <c r="AB78" s="1">
        <v>65.680000000000007</v>
      </c>
      <c r="AC78" s="1">
        <v>0</v>
      </c>
      <c r="AD78" t="s">
        <v>58</v>
      </c>
    </row>
    <row r="79" spans="1:30" x14ac:dyDescent="0.3">
      <c r="A79" s="2">
        <v>7502</v>
      </c>
      <c r="B79" s="3">
        <v>45625</v>
      </c>
      <c r="C79" s="2">
        <v>1028</v>
      </c>
      <c r="D79" s="2" t="s">
        <v>90</v>
      </c>
      <c r="E79" t="s">
        <v>90</v>
      </c>
      <c r="F79" t="s">
        <v>26</v>
      </c>
      <c r="G79" t="s">
        <v>27</v>
      </c>
      <c r="H79" t="s">
        <v>27</v>
      </c>
      <c r="I79" s="2">
        <v>2624</v>
      </c>
      <c r="J79" t="s">
        <v>28</v>
      </c>
      <c r="K79" t="s">
        <v>68</v>
      </c>
      <c r="L79" t="s">
        <v>41</v>
      </c>
      <c r="M79">
        <v>2023</v>
      </c>
      <c r="N79">
        <v>37</v>
      </c>
      <c r="O79" t="s">
        <v>48</v>
      </c>
      <c r="P79" s="2">
        <v>2</v>
      </c>
      <c r="Q79" s="1">
        <v>485.31</v>
      </c>
      <c r="R79" t="s">
        <v>42</v>
      </c>
      <c r="S79" s="1">
        <v>48.53</v>
      </c>
      <c r="T79" s="1">
        <v>436.78</v>
      </c>
      <c r="U79" s="1">
        <f t="shared" si="1"/>
        <v>436.78</v>
      </c>
      <c r="V79" s="1" t="s">
        <v>112</v>
      </c>
      <c r="W79" t="s">
        <v>33</v>
      </c>
      <c r="X79" t="s">
        <v>34</v>
      </c>
      <c r="Y79" t="s">
        <v>34</v>
      </c>
      <c r="Z79" s="2">
        <v>15</v>
      </c>
      <c r="AA79" s="2">
        <v>3</v>
      </c>
      <c r="AB79" s="1">
        <v>58.24</v>
      </c>
      <c r="AC79" s="1">
        <v>24.27</v>
      </c>
      <c r="AD79" t="s">
        <v>69</v>
      </c>
    </row>
    <row r="80" spans="1:30" x14ac:dyDescent="0.3">
      <c r="A80" s="2">
        <v>7503</v>
      </c>
      <c r="B80" s="3">
        <v>45563</v>
      </c>
      <c r="C80" s="2">
        <v>1000</v>
      </c>
      <c r="D80" s="2" t="s">
        <v>92</v>
      </c>
      <c r="E80" t="s">
        <v>92</v>
      </c>
      <c r="F80" t="s">
        <v>73</v>
      </c>
      <c r="G80" t="s">
        <v>27</v>
      </c>
      <c r="H80" t="s">
        <v>27</v>
      </c>
      <c r="I80" s="2">
        <v>2825</v>
      </c>
      <c r="J80" t="s">
        <v>28</v>
      </c>
      <c r="K80" t="s">
        <v>47</v>
      </c>
      <c r="L80" t="s">
        <v>61</v>
      </c>
      <c r="M80">
        <v>2022</v>
      </c>
      <c r="N80">
        <v>38</v>
      </c>
      <c r="O80" t="s">
        <v>48</v>
      </c>
      <c r="P80" s="2">
        <v>4</v>
      </c>
      <c r="Q80" s="1">
        <v>437.85</v>
      </c>
      <c r="R80" t="s">
        <v>32</v>
      </c>
      <c r="S80" s="1">
        <v>0</v>
      </c>
      <c r="T80" s="1">
        <v>437.85</v>
      </c>
      <c r="U80" s="1">
        <f t="shared" si="1"/>
        <v>437.85</v>
      </c>
      <c r="V80" s="1" t="s">
        <v>49</v>
      </c>
      <c r="W80" t="s">
        <v>49</v>
      </c>
      <c r="X80" t="s">
        <v>115</v>
      </c>
      <c r="Y80" t="s">
        <v>43</v>
      </c>
      <c r="Z80" s="2">
        <v>10</v>
      </c>
      <c r="AA80" s="2">
        <v>2</v>
      </c>
      <c r="AB80" s="1">
        <v>52.54</v>
      </c>
      <c r="AC80" s="1">
        <v>0</v>
      </c>
      <c r="AD80" t="s">
        <v>35</v>
      </c>
    </row>
    <row r="81" spans="1:30" x14ac:dyDescent="0.3">
      <c r="A81" s="2">
        <v>7504</v>
      </c>
      <c r="B81" s="3">
        <v>45730</v>
      </c>
      <c r="C81" s="2">
        <v>1077</v>
      </c>
      <c r="D81" s="2" t="s">
        <v>105</v>
      </c>
      <c r="E81" t="s">
        <v>81</v>
      </c>
      <c r="F81" t="s">
        <v>26</v>
      </c>
      <c r="G81" t="s">
        <v>27</v>
      </c>
      <c r="H81" t="s">
        <v>27</v>
      </c>
      <c r="I81" s="2">
        <v>2119</v>
      </c>
      <c r="J81" t="s">
        <v>63</v>
      </c>
      <c r="K81" t="s">
        <v>52</v>
      </c>
      <c r="L81" t="s">
        <v>61</v>
      </c>
      <c r="M81">
        <v>2024</v>
      </c>
      <c r="N81">
        <v>37</v>
      </c>
      <c r="O81" t="s">
        <v>31</v>
      </c>
      <c r="P81" s="2">
        <v>2</v>
      </c>
      <c r="Q81" s="1">
        <v>398.43</v>
      </c>
      <c r="R81" t="s">
        <v>32</v>
      </c>
      <c r="S81" s="1">
        <v>0</v>
      </c>
      <c r="T81" s="1">
        <v>398.43</v>
      </c>
      <c r="U81" s="1">
        <f t="shared" si="1"/>
        <v>398.43</v>
      </c>
      <c r="V81" s="1" t="s">
        <v>49</v>
      </c>
      <c r="W81" t="s">
        <v>49</v>
      </c>
      <c r="X81" t="s">
        <v>50</v>
      </c>
      <c r="Y81" t="s">
        <v>50</v>
      </c>
      <c r="Z81" s="2">
        <v>10</v>
      </c>
      <c r="AA81" s="2">
        <v>2</v>
      </c>
      <c r="AB81" s="1">
        <v>47.81</v>
      </c>
      <c r="AC81" s="1">
        <v>0</v>
      </c>
      <c r="AD81" t="s">
        <v>69</v>
      </c>
    </row>
    <row r="82" spans="1:30" x14ac:dyDescent="0.3">
      <c r="A82" s="2">
        <v>7505</v>
      </c>
      <c r="B82" s="3">
        <v>45570</v>
      </c>
      <c r="C82" s="2">
        <v>1000</v>
      </c>
      <c r="D82" s="2" t="s">
        <v>103</v>
      </c>
      <c r="E82" t="s">
        <v>74</v>
      </c>
      <c r="F82" t="s">
        <v>45</v>
      </c>
      <c r="G82" t="s">
        <v>55</v>
      </c>
      <c r="H82" t="s">
        <v>55</v>
      </c>
      <c r="I82" s="2">
        <v>2640</v>
      </c>
      <c r="J82" t="s">
        <v>63</v>
      </c>
      <c r="K82" t="s">
        <v>78</v>
      </c>
      <c r="L82" t="s">
        <v>61</v>
      </c>
      <c r="M82">
        <v>2024</v>
      </c>
      <c r="N82">
        <v>39</v>
      </c>
      <c r="O82" t="s">
        <v>31</v>
      </c>
      <c r="P82" s="2">
        <v>1</v>
      </c>
      <c r="Q82" s="1">
        <v>473.55</v>
      </c>
      <c r="R82" t="s">
        <v>42</v>
      </c>
      <c r="S82" s="1">
        <v>47.36</v>
      </c>
      <c r="T82" s="1">
        <v>426.19</v>
      </c>
      <c r="U82" s="1">
        <f t="shared" si="1"/>
        <v>426.19</v>
      </c>
      <c r="V82" s="1" t="s">
        <v>53</v>
      </c>
      <c r="W82" t="s">
        <v>53</v>
      </c>
      <c r="X82" t="s">
        <v>50</v>
      </c>
      <c r="Y82" t="s">
        <v>50</v>
      </c>
      <c r="Z82" s="2">
        <v>8</v>
      </c>
      <c r="AA82" s="2">
        <v>4</v>
      </c>
      <c r="AB82" s="1">
        <v>56.83</v>
      </c>
      <c r="AC82" s="1">
        <v>23.68</v>
      </c>
      <c r="AD82" t="s">
        <v>35</v>
      </c>
    </row>
    <row r="83" spans="1:30" x14ac:dyDescent="0.3">
      <c r="A83" s="2">
        <v>7506</v>
      </c>
      <c r="B83" s="3">
        <v>45464</v>
      </c>
      <c r="C83" s="2">
        <v>1082</v>
      </c>
      <c r="D83" s="2" t="s">
        <v>88</v>
      </c>
      <c r="E83" t="s">
        <v>88</v>
      </c>
      <c r="F83" t="s">
        <v>26</v>
      </c>
      <c r="G83" t="s">
        <v>55</v>
      </c>
      <c r="H83" t="s">
        <v>55</v>
      </c>
      <c r="I83" s="2">
        <v>2115</v>
      </c>
      <c r="J83" t="s">
        <v>80</v>
      </c>
      <c r="K83" t="s">
        <v>52</v>
      </c>
      <c r="L83" t="s">
        <v>41</v>
      </c>
      <c r="M83">
        <v>2023</v>
      </c>
      <c r="N83">
        <v>38</v>
      </c>
      <c r="O83" t="s">
        <v>56</v>
      </c>
      <c r="P83" s="2">
        <v>2</v>
      </c>
      <c r="Q83" s="1">
        <v>353.31</v>
      </c>
      <c r="R83" t="s">
        <v>42</v>
      </c>
      <c r="S83" s="1">
        <v>35.33</v>
      </c>
      <c r="T83" s="1">
        <v>317.98</v>
      </c>
      <c r="U83" s="1">
        <f t="shared" si="1"/>
        <v>317.98</v>
      </c>
      <c r="V83" s="1" t="s">
        <v>112</v>
      </c>
      <c r="W83" t="s">
        <v>33</v>
      </c>
      <c r="X83" t="s">
        <v>34</v>
      </c>
      <c r="Y83" t="s">
        <v>34</v>
      </c>
      <c r="Z83" s="2">
        <v>8</v>
      </c>
      <c r="AA83" s="2">
        <v>2</v>
      </c>
      <c r="AB83" s="1">
        <v>42.4</v>
      </c>
      <c r="AC83" s="1">
        <v>17.670000000000002</v>
      </c>
      <c r="AD83" t="s">
        <v>58</v>
      </c>
    </row>
    <row r="84" spans="1:30" x14ac:dyDescent="0.3">
      <c r="A84" s="2">
        <v>7507</v>
      </c>
      <c r="B84" s="3">
        <v>45439</v>
      </c>
      <c r="C84" s="2">
        <v>1098</v>
      </c>
      <c r="D84" s="2" t="s">
        <v>102</v>
      </c>
      <c r="E84" t="s">
        <v>54</v>
      </c>
      <c r="F84" t="s">
        <v>26</v>
      </c>
      <c r="G84" t="s">
        <v>109</v>
      </c>
      <c r="H84" t="s">
        <v>38</v>
      </c>
      <c r="I84" s="2">
        <v>2298</v>
      </c>
      <c r="J84" t="s">
        <v>80</v>
      </c>
      <c r="K84" t="s">
        <v>52</v>
      </c>
      <c r="L84" t="s">
        <v>41</v>
      </c>
      <c r="M84">
        <v>2023</v>
      </c>
      <c r="N84">
        <v>40</v>
      </c>
      <c r="O84" t="s">
        <v>31</v>
      </c>
      <c r="P84" s="2">
        <v>5</v>
      </c>
      <c r="Q84" s="1">
        <v>380.81</v>
      </c>
      <c r="R84" t="s">
        <v>42</v>
      </c>
      <c r="S84" s="1">
        <v>38.08</v>
      </c>
      <c r="T84" s="1">
        <v>342.73</v>
      </c>
      <c r="U84" s="1">
        <f t="shared" si="1"/>
        <v>342.73</v>
      </c>
      <c r="V84" s="1" t="s">
        <v>112</v>
      </c>
      <c r="W84" t="s">
        <v>33</v>
      </c>
      <c r="X84" t="s">
        <v>34</v>
      </c>
      <c r="Y84" t="s">
        <v>34</v>
      </c>
      <c r="Z84" s="2">
        <v>7</v>
      </c>
      <c r="AA84" s="2">
        <v>5</v>
      </c>
      <c r="AB84" s="1">
        <v>45.7</v>
      </c>
      <c r="AC84" s="1">
        <v>19.04</v>
      </c>
      <c r="AD84" t="s">
        <v>35</v>
      </c>
    </row>
    <row r="85" spans="1:30" x14ac:dyDescent="0.3">
      <c r="A85" s="2">
        <v>7508</v>
      </c>
      <c r="B85" s="3">
        <v>45713</v>
      </c>
      <c r="C85" s="2">
        <v>1096</v>
      </c>
      <c r="D85" s="2" t="s">
        <v>85</v>
      </c>
      <c r="E85" t="s">
        <v>85</v>
      </c>
      <c r="F85" t="s">
        <v>37</v>
      </c>
      <c r="G85" t="s">
        <v>109</v>
      </c>
      <c r="H85" t="s">
        <v>38</v>
      </c>
      <c r="I85" s="2">
        <v>2689</v>
      </c>
      <c r="J85" t="s">
        <v>80</v>
      </c>
      <c r="K85" t="s">
        <v>47</v>
      </c>
      <c r="L85" t="s">
        <v>61</v>
      </c>
      <c r="M85">
        <v>2022</v>
      </c>
      <c r="N85">
        <v>40</v>
      </c>
      <c r="O85" t="s">
        <v>48</v>
      </c>
      <c r="P85" s="2">
        <v>4</v>
      </c>
      <c r="Q85" s="1">
        <v>354.39</v>
      </c>
      <c r="R85" t="s">
        <v>42</v>
      </c>
      <c r="S85" s="1">
        <v>35.44</v>
      </c>
      <c r="T85" s="1">
        <v>318.95</v>
      </c>
      <c r="U85" s="1">
        <f t="shared" si="1"/>
        <v>318.95</v>
      </c>
      <c r="V85" s="1" t="s">
        <v>113</v>
      </c>
      <c r="W85" t="s">
        <v>57</v>
      </c>
      <c r="X85" t="s">
        <v>115</v>
      </c>
      <c r="Y85" t="s">
        <v>43</v>
      </c>
      <c r="Z85" s="2">
        <v>1</v>
      </c>
      <c r="AA85" s="2">
        <v>4</v>
      </c>
      <c r="AB85" s="1">
        <v>42.53</v>
      </c>
      <c r="AC85" s="1">
        <v>17.72</v>
      </c>
      <c r="AD85" t="s">
        <v>58</v>
      </c>
    </row>
    <row r="86" spans="1:30" x14ac:dyDescent="0.3">
      <c r="A86" s="2">
        <v>7509</v>
      </c>
      <c r="B86" s="3">
        <v>45563</v>
      </c>
      <c r="C86" s="2">
        <v>1058</v>
      </c>
      <c r="D86" s="2" t="s">
        <v>87</v>
      </c>
      <c r="E86" t="s">
        <v>87</v>
      </c>
      <c r="F86" t="s">
        <v>37</v>
      </c>
      <c r="G86" t="s">
        <v>27</v>
      </c>
      <c r="H86" t="s">
        <v>27</v>
      </c>
      <c r="I86" s="2">
        <v>2660</v>
      </c>
      <c r="J86" t="s">
        <v>51</v>
      </c>
      <c r="K86" t="s">
        <v>78</v>
      </c>
      <c r="L86" t="s">
        <v>41</v>
      </c>
      <c r="M86">
        <v>2023</v>
      </c>
      <c r="N86">
        <v>40</v>
      </c>
      <c r="O86" t="s">
        <v>31</v>
      </c>
      <c r="P86" s="2">
        <v>3</v>
      </c>
      <c r="Q86" s="1">
        <v>591.37</v>
      </c>
      <c r="R86" t="s">
        <v>32</v>
      </c>
      <c r="S86" s="1">
        <v>0</v>
      </c>
      <c r="T86" s="1">
        <v>591.37</v>
      </c>
      <c r="U86" s="1">
        <f t="shared" si="1"/>
        <v>591.37</v>
      </c>
      <c r="V86" s="1" t="s">
        <v>112</v>
      </c>
      <c r="W86" t="s">
        <v>33</v>
      </c>
      <c r="X86" t="s">
        <v>115</v>
      </c>
      <c r="Y86" t="s">
        <v>43</v>
      </c>
      <c r="Z86" s="2">
        <v>11</v>
      </c>
      <c r="AA86" s="2">
        <v>2</v>
      </c>
      <c r="AB86" s="1">
        <v>70.959999999999994</v>
      </c>
      <c r="AC86" s="1">
        <v>0</v>
      </c>
      <c r="AD86" t="s">
        <v>69</v>
      </c>
    </row>
    <row r="87" spans="1:30" x14ac:dyDescent="0.3">
      <c r="A87" s="2">
        <v>7510</v>
      </c>
      <c r="B87" s="3">
        <v>45452</v>
      </c>
      <c r="C87" s="2">
        <v>1040</v>
      </c>
      <c r="D87" s="2" t="s">
        <v>96</v>
      </c>
      <c r="E87" t="s">
        <v>96</v>
      </c>
      <c r="F87" t="s">
        <v>26</v>
      </c>
      <c r="G87" t="s">
        <v>55</v>
      </c>
      <c r="H87" t="s">
        <v>55</v>
      </c>
      <c r="I87" s="2">
        <v>2603</v>
      </c>
      <c r="J87" t="s">
        <v>80</v>
      </c>
      <c r="K87" t="s">
        <v>47</v>
      </c>
      <c r="L87" t="s">
        <v>41</v>
      </c>
      <c r="M87">
        <v>2023</v>
      </c>
      <c r="N87">
        <v>40</v>
      </c>
      <c r="O87" t="s">
        <v>75</v>
      </c>
      <c r="P87" s="2">
        <v>4</v>
      </c>
      <c r="Q87" s="1">
        <v>633.46</v>
      </c>
      <c r="R87" t="s">
        <v>42</v>
      </c>
      <c r="S87" s="1">
        <v>63.35</v>
      </c>
      <c r="T87" s="1">
        <v>570.11</v>
      </c>
      <c r="U87" s="1">
        <f t="shared" si="1"/>
        <v>570.11</v>
      </c>
      <c r="V87" s="1" t="s">
        <v>112</v>
      </c>
      <c r="W87" t="s">
        <v>33</v>
      </c>
      <c r="X87" t="s">
        <v>115</v>
      </c>
      <c r="Y87" t="s">
        <v>43</v>
      </c>
      <c r="Z87" s="2">
        <v>2</v>
      </c>
      <c r="AA87" s="2">
        <v>2</v>
      </c>
      <c r="AB87" s="1">
        <v>76.02</v>
      </c>
      <c r="AC87" s="1">
        <v>31.67</v>
      </c>
      <c r="AD87" t="s">
        <v>58</v>
      </c>
    </row>
    <row r="88" spans="1:30" x14ac:dyDescent="0.3">
      <c r="A88" s="2">
        <v>7511</v>
      </c>
      <c r="B88" s="3">
        <v>45742</v>
      </c>
      <c r="C88" s="2">
        <v>1040</v>
      </c>
      <c r="D88" s="2" t="s">
        <v>96</v>
      </c>
      <c r="E88" t="s">
        <v>96</v>
      </c>
      <c r="F88" t="s">
        <v>26</v>
      </c>
      <c r="G88" t="s">
        <v>55</v>
      </c>
      <c r="H88" t="s">
        <v>55</v>
      </c>
      <c r="I88" s="2">
        <v>2539</v>
      </c>
      <c r="J88" t="s">
        <v>71</v>
      </c>
      <c r="K88" t="s">
        <v>40</v>
      </c>
      <c r="L88" t="s">
        <v>30</v>
      </c>
      <c r="M88">
        <v>2022</v>
      </c>
      <c r="N88">
        <v>39</v>
      </c>
      <c r="O88" t="s">
        <v>31</v>
      </c>
      <c r="P88" s="2">
        <v>5</v>
      </c>
      <c r="Q88" s="1">
        <v>440.97</v>
      </c>
      <c r="R88" t="s">
        <v>32</v>
      </c>
      <c r="S88" s="1">
        <v>0</v>
      </c>
      <c r="T88" s="1">
        <v>440.97</v>
      </c>
      <c r="U88" s="1">
        <f t="shared" si="1"/>
        <v>440.97</v>
      </c>
      <c r="V88" s="1" t="s">
        <v>113</v>
      </c>
      <c r="W88" t="s">
        <v>57</v>
      </c>
      <c r="X88" t="s">
        <v>50</v>
      </c>
      <c r="Y88" t="s">
        <v>50</v>
      </c>
      <c r="Z88" s="2">
        <v>9</v>
      </c>
      <c r="AA88" s="2">
        <v>3</v>
      </c>
      <c r="AB88" s="1">
        <v>52.92</v>
      </c>
      <c r="AC88" s="1">
        <v>0</v>
      </c>
      <c r="AD88" t="s">
        <v>58</v>
      </c>
    </row>
    <row r="89" spans="1:30" x14ac:dyDescent="0.3">
      <c r="A89" s="2">
        <v>7512</v>
      </c>
      <c r="B89" s="3">
        <v>45498</v>
      </c>
      <c r="C89" s="2">
        <v>1003</v>
      </c>
      <c r="D89" s="2" t="s">
        <v>106</v>
      </c>
      <c r="E89" t="s">
        <v>97</v>
      </c>
      <c r="F89" t="s">
        <v>37</v>
      </c>
      <c r="G89" t="s">
        <v>109</v>
      </c>
      <c r="H89" t="s">
        <v>38</v>
      </c>
      <c r="I89" s="2">
        <v>2288</v>
      </c>
      <c r="J89" t="s">
        <v>46</v>
      </c>
      <c r="K89" t="s">
        <v>47</v>
      </c>
      <c r="L89" t="s">
        <v>30</v>
      </c>
      <c r="M89">
        <v>2023</v>
      </c>
      <c r="N89">
        <v>42</v>
      </c>
      <c r="O89" t="s">
        <v>66</v>
      </c>
      <c r="P89" s="2">
        <v>5</v>
      </c>
      <c r="Q89" s="1">
        <v>754.01</v>
      </c>
      <c r="R89" t="s">
        <v>42</v>
      </c>
      <c r="S89" s="1">
        <v>75.400000000000006</v>
      </c>
      <c r="T89" s="1">
        <v>678.61</v>
      </c>
      <c r="U89" s="1">
        <f t="shared" si="1"/>
        <v>678.61</v>
      </c>
      <c r="V89" s="1" t="s">
        <v>112</v>
      </c>
      <c r="W89" t="s">
        <v>33</v>
      </c>
      <c r="X89" t="s">
        <v>50</v>
      </c>
      <c r="Y89" t="s">
        <v>50</v>
      </c>
      <c r="Z89" s="2">
        <v>8</v>
      </c>
      <c r="AA89" s="2">
        <v>1</v>
      </c>
      <c r="AB89" s="1">
        <v>90.48</v>
      </c>
      <c r="AC89" s="1">
        <v>37.700000000000003</v>
      </c>
      <c r="AD89" t="s">
        <v>69</v>
      </c>
    </row>
    <row r="90" spans="1:30" x14ac:dyDescent="0.3">
      <c r="A90" s="2">
        <v>7513</v>
      </c>
      <c r="B90" s="3">
        <v>45439</v>
      </c>
      <c r="C90" s="2">
        <v>1078</v>
      </c>
      <c r="D90" s="2" t="s">
        <v>65</v>
      </c>
      <c r="E90" t="s">
        <v>65</v>
      </c>
      <c r="F90" t="s">
        <v>60</v>
      </c>
      <c r="G90" t="s">
        <v>109</v>
      </c>
      <c r="H90" t="s">
        <v>38</v>
      </c>
      <c r="I90" s="2">
        <v>2090</v>
      </c>
      <c r="J90" t="s">
        <v>39</v>
      </c>
      <c r="K90" t="s">
        <v>64</v>
      </c>
      <c r="L90" t="s">
        <v>41</v>
      </c>
      <c r="M90">
        <v>2024</v>
      </c>
      <c r="N90">
        <v>40</v>
      </c>
      <c r="O90" t="s">
        <v>48</v>
      </c>
      <c r="P90" s="2">
        <v>3</v>
      </c>
      <c r="Q90" s="1">
        <v>527.05999999999995</v>
      </c>
      <c r="R90" t="s">
        <v>42</v>
      </c>
      <c r="S90" s="1">
        <v>52.71</v>
      </c>
      <c r="T90" s="1">
        <v>4.7434999999999904E+16</v>
      </c>
      <c r="U90" s="1">
        <f t="shared" si="1"/>
        <v>474.34999999999997</v>
      </c>
      <c r="V90" s="1" t="s">
        <v>49</v>
      </c>
      <c r="W90" t="s">
        <v>49</v>
      </c>
      <c r="X90" t="s">
        <v>50</v>
      </c>
      <c r="Y90" t="s">
        <v>50</v>
      </c>
      <c r="Z90" s="2">
        <v>14</v>
      </c>
      <c r="AA90" s="2">
        <v>4</v>
      </c>
      <c r="AB90" s="1">
        <v>63.25</v>
      </c>
      <c r="AC90" s="1">
        <v>26.35</v>
      </c>
      <c r="AD90" t="s">
        <v>35</v>
      </c>
    </row>
    <row r="91" spans="1:30" x14ac:dyDescent="0.3">
      <c r="A91" s="2">
        <v>7514</v>
      </c>
      <c r="B91" s="3">
        <v>45745</v>
      </c>
      <c r="C91" s="2">
        <v>1023</v>
      </c>
      <c r="D91" s="2" t="s">
        <v>88</v>
      </c>
      <c r="E91" t="s">
        <v>88</v>
      </c>
      <c r="F91" t="s">
        <v>60</v>
      </c>
      <c r="G91" t="s">
        <v>55</v>
      </c>
      <c r="H91" t="s">
        <v>55</v>
      </c>
      <c r="I91" s="2">
        <v>2304</v>
      </c>
      <c r="J91" t="s">
        <v>39</v>
      </c>
      <c r="K91" t="s">
        <v>52</v>
      </c>
      <c r="L91" t="s">
        <v>30</v>
      </c>
      <c r="M91">
        <v>2024</v>
      </c>
      <c r="N91">
        <v>39</v>
      </c>
      <c r="O91" t="s">
        <v>48</v>
      </c>
      <c r="P91" s="2">
        <v>2</v>
      </c>
      <c r="Q91" s="1">
        <v>563.88</v>
      </c>
      <c r="R91" t="s">
        <v>32</v>
      </c>
      <c r="S91" s="1">
        <v>0</v>
      </c>
      <c r="T91" s="1">
        <v>563.88</v>
      </c>
      <c r="U91" s="1">
        <f t="shared" si="1"/>
        <v>563.88</v>
      </c>
      <c r="V91" s="1" t="s">
        <v>49</v>
      </c>
      <c r="W91" t="s">
        <v>49</v>
      </c>
      <c r="X91" t="s">
        <v>34</v>
      </c>
      <c r="Y91" t="s">
        <v>34</v>
      </c>
      <c r="Z91" s="2">
        <v>8</v>
      </c>
      <c r="AA91" s="2">
        <v>1</v>
      </c>
      <c r="AB91" s="1">
        <v>67.67</v>
      </c>
      <c r="AC91" s="1">
        <v>0</v>
      </c>
      <c r="AD91" t="s">
        <v>58</v>
      </c>
    </row>
    <row r="92" spans="1:30" x14ac:dyDescent="0.3">
      <c r="A92" s="2">
        <v>7515</v>
      </c>
      <c r="B92" s="3">
        <v>45456</v>
      </c>
      <c r="C92" s="2">
        <v>1058</v>
      </c>
      <c r="D92" s="2" t="s">
        <v>77</v>
      </c>
      <c r="E92" t="s">
        <v>77</v>
      </c>
      <c r="F92" t="s">
        <v>37</v>
      </c>
      <c r="G92" t="s">
        <v>27</v>
      </c>
      <c r="H92" t="s">
        <v>27</v>
      </c>
      <c r="I92" s="2">
        <v>2956</v>
      </c>
      <c r="J92" t="s">
        <v>80</v>
      </c>
      <c r="K92" t="s">
        <v>72</v>
      </c>
      <c r="L92" t="s">
        <v>30</v>
      </c>
      <c r="M92">
        <v>2023</v>
      </c>
      <c r="N92">
        <v>37</v>
      </c>
      <c r="O92" t="s">
        <v>48</v>
      </c>
      <c r="P92" s="2">
        <v>3</v>
      </c>
      <c r="Q92" s="1">
        <v>470.6</v>
      </c>
      <c r="R92" t="s">
        <v>42</v>
      </c>
      <c r="S92" s="1">
        <v>47.06</v>
      </c>
      <c r="T92" s="1">
        <v>423.54</v>
      </c>
      <c r="U92" s="1">
        <f t="shared" si="1"/>
        <v>423.54</v>
      </c>
      <c r="V92" s="1" t="s">
        <v>112</v>
      </c>
      <c r="W92" t="s">
        <v>33</v>
      </c>
      <c r="X92" t="s">
        <v>50</v>
      </c>
      <c r="Y92" t="s">
        <v>50</v>
      </c>
      <c r="Z92" s="2">
        <v>4</v>
      </c>
      <c r="AA92" s="2">
        <v>3</v>
      </c>
      <c r="AB92" s="1">
        <v>56.47</v>
      </c>
      <c r="AC92" s="1">
        <v>23.53</v>
      </c>
      <c r="AD92" t="s">
        <v>69</v>
      </c>
    </row>
    <row r="93" spans="1:30" x14ac:dyDescent="0.3">
      <c r="A93" s="2">
        <v>7516</v>
      </c>
      <c r="B93" s="3">
        <v>45738</v>
      </c>
      <c r="C93" s="2">
        <v>1052</v>
      </c>
      <c r="D93" s="2" t="s">
        <v>85</v>
      </c>
      <c r="E93" t="s">
        <v>85</v>
      </c>
      <c r="F93" t="s">
        <v>73</v>
      </c>
      <c r="G93" t="s">
        <v>109</v>
      </c>
      <c r="H93" t="s">
        <v>38</v>
      </c>
      <c r="I93" s="2">
        <v>2589</v>
      </c>
      <c r="J93" t="s">
        <v>28</v>
      </c>
      <c r="K93" t="s">
        <v>47</v>
      </c>
      <c r="L93" t="s">
        <v>41</v>
      </c>
      <c r="M93">
        <v>2022</v>
      </c>
      <c r="N93">
        <v>42</v>
      </c>
      <c r="O93" t="s">
        <v>75</v>
      </c>
      <c r="P93" s="2">
        <v>2</v>
      </c>
      <c r="Q93" s="1">
        <v>591.01</v>
      </c>
      <c r="R93" t="s">
        <v>32</v>
      </c>
      <c r="S93" s="1">
        <v>0</v>
      </c>
      <c r="T93" s="1">
        <v>591.01</v>
      </c>
      <c r="U93" s="1">
        <f t="shared" si="1"/>
        <v>591.01</v>
      </c>
      <c r="V93" s="1" t="s">
        <v>113</v>
      </c>
      <c r="W93" t="s">
        <v>57</v>
      </c>
      <c r="X93" t="s">
        <v>34</v>
      </c>
      <c r="Y93" t="s">
        <v>34</v>
      </c>
      <c r="Z93" s="2">
        <v>5</v>
      </c>
      <c r="AA93" s="2">
        <v>2</v>
      </c>
      <c r="AB93" s="1">
        <v>70.92</v>
      </c>
      <c r="AC93" s="1">
        <v>0</v>
      </c>
      <c r="AD93" t="s">
        <v>58</v>
      </c>
    </row>
    <row r="94" spans="1:30" x14ac:dyDescent="0.3">
      <c r="A94" s="2">
        <v>7517</v>
      </c>
      <c r="B94" s="3">
        <v>45606</v>
      </c>
      <c r="C94" s="2">
        <v>1011</v>
      </c>
      <c r="D94" s="2" t="s">
        <v>100</v>
      </c>
      <c r="E94" t="s">
        <v>25</v>
      </c>
      <c r="F94" t="s">
        <v>45</v>
      </c>
      <c r="G94" t="s">
        <v>27</v>
      </c>
      <c r="H94" t="s">
        <v>27</v>
      </c>
      <c r="I94" s="2">
        <v>2678</v>
      </c>
      <c r="J94" t="s">
        <v>71</v>
      </c>
      <c r="K94" t="s">
        <v>29</v>
      </c>
      <c r="L94" t="s">
        <v>61</v>
      </c>
      <c r="M94">
        <v>2023</v>
      </c>
      <c r="N94">
        <v>37</v>
      </c>
      <c r="O94" t="s">
        <v>31</v>
      </c>
      <c r="P94" s="2">
        <v>1</v>
      </c>
      <c r="Q94" s="1">
        <v>507.34</v>
      </c>
      <c r="R94" t="s">
        <v>32</v>
      </c>
      <c r="S94" s="1">
        <v>0</v>
      </c>
      <c r="T94" s="1">
        <v>507.34</v>
      </c>
      <c r="U94" s="1">
        <f t="shared" si="1"/>
        <v>507.34</v>
      </c>
      <c r="V94" s="1" t="s">
        <v>112</v>
      </c>
      <c r="W94" t="s">
        <v>33</v>
      </c>
      <c r="X94" t="s">
        <v>34</v>
      </c>
      <c r="Y94" t="s">
        <v>34</v>
      </c>
      <c r="Z94" s="2">
        <v>4</v>
      </c>
      <c r="AA94" s="2">
        <v>5</v>
      </c>
      <c r="AB94" s="1">
        <v>60.88</v>
      </c>
      <c r="AC94" s="1">
        <v>0</v>
      </c>
      <c r="AD94" t="s">
        <v>35</v>
      </c>
    </row>
    <row r="95" spans="1:30" x14ac:dyDescent="0.3">
      <c r="A95" s="2">
        <v>7518</v>
      </c>
      <c r="B95" s="3">
        <v>45493</v>
      </c>
      <c r="C95" s="2">
        <v>1032</v>
      </c>
      <c r="D95" s="2" t="s">
        <v>77</v>
      </c>
      <c r="E95" t="s">
        <v>77</v>
      </c>
      <c r="F95" t="s">
        <v>37</v>
      </c>
      <c r="G95" t="s">
        <v>109</v>
      </c>
      <c r="H95" t="s">
        <v>38</v>
      </c>
      <c r="I95" s="2">
        <v>2087</v>
      </c>
      <c r="J95" t="s">
        <v>71</v>
      </c>
      <c r="K95" t="s">
        <v>29</v>
      </c>
      <c r="L95" t="s">
        <v>30</v>
      </c>
      <c r="M95">
        <v>2023</v>
      </c>
      <c r="N95">
        <v>42</v>
      </c>
      <c r="O95" t="s">
        <v>66</v>
      </c>
      <c r="P95" s="2">
        <v>3</v>
      </c>
      <c r="Q95" s="1">
        <v>734.09</v>
      </c>
      <c r="R95" t="s">
        <v>42</v>
      </c>
      <c r="S95" s="1">
        <v>73.41</v>
      </c>
      <c r="T95" s="1">
        <v>6606800000000000</v>
      </c>
      <c r="U95" s="1">
        <f t="shared" si="1"/>
        <v>660.68000000000006</v>
      </c>
      <c r="V95" s="1" t="s">
        <v>112</v>
      </c>
      <c r="W95" t="s">
        <v>33</v>
      </c>
      <c r="X95" t="s">
        <v>50</v>
      </c>
      <c r="Y95" t="s">
        <v>50</v>
      </c>
      <c r="Z95" s="2">
        <v>10</v>
      </c>
      <c r="AA95" s="2">
        <v>3</v>
      </c>
      <c r="AB95" s="1">
        <v>88.09</v>
      </c>
      <c r="AC95" s="1">
        <v>36.700000000000003</v>
      </c>
      <c r="AD95" t="s">
        <v>69</v>
      </c>
    </row>
    <row r="96" spans="1:30" x14ac:dyDescent="0.3">
      <c r="A96" s="2">
        <v>7519</v>
      </c>
      <c r="B96" s="3">
        <v>45546</v>
      </c>
      <c r="C96" s="2">
        <v>1083</v>
      </c>
      <c r="D96" s="2" t="s">
        <v>89</v>
      </c>
      <c r="E96" t="s">
        <v>89</v>
      </c>
      <c r="F96" t="s">
        <v>73</v>
      </c>
      <c r="G96" t="s">
        <v>27</v>
      </c>
      <c r="H96" t="s">
        <v>27</v>
      </c>
      <c r="I96" s="2">
        <v>2064</v>
      </c>
      <c r="J96" t="s">
        <v>63</v>
      </c>
      <c r="K96" t="s">
        <v>72</v>
      </c>
      <c r="L96" t="s">
        <v>30</v>
      </c>
      <c r="M96">
        <v>2024</v>
      </c>
      <c r="N96">
        <v>41</v>
      </c>
      <c r="O96" t="s">
        <v>75</v>
      </c>
      <c r="P96" s="2">
        <v>2</v>
      </c>
      <c r="Q96" s="1">
        <v>741.83</v>
      </c>
      <c r="R96" t="s">
        <v>32</v>
      </c>
      <c r="S96" s="1">
        <v>0</v>
      </c>
      <c r="T96" s="1">
        <v>741.83</v>
      </c>
      <c r="U96" s="1">
        <f t="shared" si="1"/>
        <v>741.83</v>
      </c>
      <c r="V96" s="1" t="s">
        <v>113</v>
      </c>
      <c r="W96" t="s">
        <v>57</v>
      </c>
      <c r="X96" t="s">
        <v>50</v>
      </c>
      <c r="Y96" t="s">
        <v>50</v>
      </c>
      <c r="Z96" s="2">
        <v>10</v>
      </c>
      <c r="AA96" s="2">
        <v>3</v>
      </c>
      <c r="AB96" s="1">
        <v>89.02</v>
      </c>
      <c r="AC96" s="1">
        <v>0</v>
      </c>
      <c r="AD96" t="s">
        <v>58</v>
      </c>
    </row>
    <row r="97" spans="1:30" x14ac:dyDescent="0.3">
      <c r="A97" s="2">
        <v>7520</v>
      </c>
      <c r="B97" s="3">
        <v>45464</v>
      </c>
      <c r="C97" s="2">
        <v>1081</v>
      </c>
      <c r="D97" s="2" t="s">
        <v>65</v>
      </c>
      <c r="E97" t="s">
        <v>65</v>
      </c>
      <c r="F97" t="s">
        <v>73</v>
      </c>
      <c r="G97" t="s">
        <v>109</v>
      </c>
      <c r="H97" t="s">
        <v>38</v>
      </c>
      <c r="I97" s="2">
        <v>2099</v>
      </c>
      <c r="J97" t="s">
        <v>28</v>
      </c>
      <c r="K97" t="s">
        <v>64</v>
      </c>
      <c r="L97" t="s">
        <v>41</v>
      </c>
      <c r="M97">
        <v>2024</v>
      </c>
      <c r="N97">
        <v>41</v>
      </c>
      <c r="O97" t="s">
        <v>56</v>
      </c>
      <c r="P97" s="2">
        <v>4</v>
      </c>
      <c r="Q97" s="1">
        <v>319.47000000000003</v>
      </c>
      <c r="R97" t="s">
        <v>42</v>
      </c>
      <c r="S97" s="1">
        <v>31.95</v>
      </c>
      <c r="T97" s="1">
        <v>2.8752E+16</v>
      </c>
      <c r="U97" s="1">
        <f t="shared" si="1"/>
        <v>287.52000000000004</v>
      </c>
      <c r="V97" s="1" t="s">
        <v>113</v>
      </c>
      <c r="W97" t="s">
        <v>57</v>
      </c>
      <c r="X97" t="s">
        <v>115</v>
      </c>
      <c r="Y97" t="s">
        <v>43</v>
      </c>
      <c r="Z97" s="2">
        <v>10</v>
      </c>
      <c r="AA97" s="2">
        <v>5</v>
      </c>
      <c r="AB97" s="1">
        <v>38.340000000000003</v>
      </c>
      <c r="AC97" s="1">
        <v>15.97</v>
      </c>
      <c r="AD97" t="s">
        <v>35</v>
      </c>
    </row>
    <row r="98" spans="1:30" x14ac:dyDescent="0.3">
      <c r="A98" s="2">
        <v>7521</v>
      </c>
      <c r="B98" s="3">
        <v>45596</v>
      </c>
      <c r="C98" s="2">
        <v>1056</v>
      </c>
      <c r="D98" s="2" t="s">
        <v>65</v>
      </c>
      <c r="E98" t="s">
        <v>65</v>
      </c>
      <c r="F98" t="s">
        <v>45</v>
      </c>
      <c r="G98" t="s">
        <v>109</v>
      </c>
      <c r="H98" t="s">
        <v>38</v>
      </c>
      <c r="I98" s="2">
        <v>2973</v>
      </c>
      <c r="J98" t="s">
        <v>80</v>
      </c>
      <c r="K98" t="s">
        <v>52</v>
      </c>
      <c r="L98" t="s">
        <v>30</v>
      </c>
      <c r="M98">
        <v>2024</v>
      </c>
      <c r="N98">
        <v>41</v>
      </c>
      <c r="O98" t="s">
        <v>66</v>
      </c>
      <c r="P98" s="2">
        <v>4</v>
      </c>
      <c r="Q98" s="1">
        <v>608.92999999999995</v>
      </c>
      <c r="R98" t="s">
        <v>32</v>
      </c>
      <c r="S98" s="1">
        <v>0</v>
      </c>
      <c r="T98" s="1">
        <v>608.92999999999995</v>
      </c>
      <c r="U98" s="1">
        <f t="shared" si="1"/>
        <v>608.92999999999995</v>
      </c>
      <c r="V98" s="1" t="s">
        <v>112</v>
      </c>
      <c r="W98" t="s">
        <v>33</v>
      </c>
      <c r="X98" t="s">
        <v>34</v>
      </c>
      <c r="Y98" t="s">
        <v>34</v>
      </c>
      <c r="Z98" s="2">
        <v>3</v>
      </c>
      <c r="AA98" s="2">
        <v>2</v>
      </c>
      <c r="AB98" s="1">
        <v>73.069999999999993</v>
      </c>
      <c r="AC98" s="1">
        <v>0</v>
      </c>
      <c r="AD98" t="s">
        <v>35</v>
      </c>
    </row>
    <row r="99" spans="1:30" x14ac:dyDescent="0.3">
      <c r="A99" s="2">
        <v>7522</v>
      </c>
      <c r="B99" s="3">
        <v>45697</v>
      </c>
      <c r="C99" s="2">
        <v>1016</v>
      </c>
      <c r="D99" s="2" t="s">
        <v>94</v>
      </c>
      <c r="E99" t="s">
        <v>94</v>
      </c>
      <c r="F99" t="s">
        <v>26</v>
      </c>
      <c r="G99" t="s">
        <v>27</v>
      </c>
      <c r="H99" t="s">
        <v>27</v>
      </c>
      <c r="I99" s="2">
        <v>2814</v>
      </c>
      <c r="J99" t="s">
        <v>63</v>
      </c>
      <c r="K99" t="s">
        <v>52</v>
      </c>
      <c r="L99" t="s">
        <v>61</v>
      </c>
      <c r="M99">
        <v>2022</v>
      </c>
      <c r="N99">
        <v>37</v>
      </c>
      <c r="O99" t="s">
        <v>31</v>
      </c>
      <c r="P99" s="2">
        <v>4</v>
      </c>
      <c r="Q99" s="1">
        <v>622.85</v>
      </c>
      <c r="R99" t="s">
        <v>42</v>
      </c>
      <c r="S99" s="1">
        <v>62.29</v>
      </c>
      <c r="T99" s="1">
        <v>5605600000000000</v>
      </c>
      <c r="U99" s="1">
        <f t="shared" si="1"/>
        <v>560.56000000000006</v>
      </c>
      <c r="V99" s="1" t="s">
        <v>113</v>
      </c>
      <c r="W99" t="s">
        <v>57</v>
      </c>
      <c r="X99" t="s">
        <v>50</v>
      </c>
      <c r="Y99" t="s">
        <v>50</v>
      </c>
      <c r="Z99" s="2">
        <v>5</v>
      </c>
      <c r="AA99" s="2">
        <v>4</v>
      </c>
      <c r="AB99" s="1">
        <v>74.739999999999995</v>
      </c>
      <c r="AC99" s="1">
        <v>31.14</v>
      </c>
      <c r="AD99" t="s">
        <v>35</v>
      </c>
    </row>
    <row r="100" spans="1:30" x14ac:dyDescent="0.3">
      <c r="A100" s="2">
        <v>7523</v>
      </c>
      <c r="B100" s="3">
        <v>45682</v>
      </c>
      <c r="C100" s="2">
        <v>1000</v>
      </c>
      <c r="D100" s="2" t="s">
        <v>92</v>
      </c>
      <c r="E100" t="s">
        <v>92</v>
      </c>
      <c r="F100" t="s">
        <v>45</v>
      </c>
      <c r="G100" t="s">
        <v>55</v>
      </c>
      <c r="H100" t="s">
        <v>55</v>
      </c>
      <c r="I100" s="2">
        <v>2204</v>
      </c>
      <c r="J100" t="s">
        <v>39</v>
      </c>
      <c r="K100" t="s">
        <v>52</v>
      </c>
      <c r="L100" t="s">
        <v>41</v>
      </c>
      <c r="M100">
        <v>2024</v>
      </c>
      <c r="N100">
        <v>40</v>
      </c>
      <c r="O100" t="s">
        <v>75</v>
      </c>
      <c r="P100" s="2">
        <v>5</v>
      </c>
      <c r="Q100" s="1">
        <v>792.37</v>
      </c>
      <c r="R100" t="s">
        <v>42</v>
      </c>
      <c r="S100" s="1">
        <v>79.239999999999995</v>
      </c>
      <c r="T100" s="1">
        <v>713.13</v>
      </c>
      <c r="U100" s="1">
        <f t="shared" si="1"/>
        <v>713.13</v>
      </c>
      <c r="V100" s="1" t="s">
        <v>112</v>
      </c>
      <c r="W100" t="s">
        <v>33</v>
      </c>
      <c r="X100" t="s">
        <v>115</v>
      </c>
      <c r="Y100" t="s">
        <v>43</v>
      </c>
      <c r="Z100" s="2">
        <v>5</v>
      </c>
      <c r="AA100" s="2">
        <v>4</v>
      </c>
      <c r="AB100" s="1">
        <v>95.08</v>
      </c>
      <c r="AC100" s="1">
        <v>39.619999999999997</v>
      </c>
      <c r="AD100" t="s">
        <v>35</v>
      </c>
    </row>
    <row r="101" spans="1:30" x14ac:dyDescent="0.3">
      <c r="A101" s="2">
        <v>7524</v>
      </c>
      <c r="B101" s="3">
        <v>45663</v>
      </c>
      <c r="C101" s="2">
        <v>1003</v>
      </c>
      <c r="D101" s="2" t="s">
        <v>65</v>
      </c>
      <c r="E101" t="s">
        <v>65</v>
      </c>
      <c r="F101" t="s">
        <v>45</v>
      </c>
      <c r="G101" t="s">
        <v>27</v>
      </c>
      <c r="H101" t="s">
        <v>27</v>
      </c>
      <c r="I101" s="2">
        <v>2437</v>
      </c>
      <c r="J101" t="s">
        <v>51</v>
      </c>
      <c r="K101" t="s">
        <v>29</v>
      </c>
      <c r="L101" t="s">
        <v>61</v>
      </c>
      <c r="M101">
        <v>2022</v>
      </c>
      <c r="N101">
        <v>41</v>
      </c>
      <c r="O101" t="s">
        <v>75</v>
      </c>
      <c r="P101" s="2">
        <v>5</v>
      </c>
      <c r="Q101" s="1">
        <v>523.73</v>
      </c>
      <c r="R101" t="s">
        <v>32</v>
      </c>
      <c r="S101" s="1">
        <v>0</v>
      </c>
      <c r="T101" s="1">
        <v>523.73</v>
      </c>
      <c r="U101" s="1">
        <f t="shared" si="1"/>
        <v>523.73</v>
      </c>
      <c r="V101" s="1" t="s">
        <v>53</v>
      </c>
      <c r="W101" t="s">
        <v>53</v>
      </c>
      <c r="X101" t="s">
        <v>50</v>
      </c>
      <c r="Y101" t="s">
        <v>50</v>
      </c>
      <c r="Z101" s="2">
        <v>4</v>
      </c>
      <c r="AA101" s="2">
        <v>3</v>
      </c>
      <c r="AB101" s="1">
        <v>62.85</v>
      </c>
      <c r="AC101" s="1">
        <v>0</v>
      </c>
      <c r="AD101" t="s">
        <v>35</v>
      </c>
    </row>
    <row r="102" spans="1:30" x14ac:dyDescent="0.3">
      <c r="A102" s="2">
        <v>7525</v>
      </c>
      <c r="B102" s="3">
        <v>45735</v>
      </c>
      <c r="C102" s="2">
        <v>1064</v>
      </c>
      <c r="D102" s="2" t="s">
        <v>79</v>
      </c>
      <c r="E102" t="s">
        <v>79</v>
      </c>
      <c r="F102" t="s">
        <v>37</v>
      </c>
      <c r="G102" t="s">
        <v>55</v>
      </c>
      <c r="H102" t="s">
        <v>55</v>
      </c>
      <c r="I102" s="2">
        <v>2765</v>
      </c>
      <c r="J102" t="s">
        <v>28</v>
      </c>
      <c r="K102" t="s">
        <v>29</v>
      </c>
      <c r="L102" t="s">
        <v>41</v>
      </c>
      <c r="M102">
        <v>2024</v>
      </c>
      <c r="N102">
        <v>39</v>
      </c>
      <c r="O102" t="s">
        <v>31</v>
      </c>
      <c r="P102" s="2">
        <v>1</v>
      </c>
      <c r="Q102" s="1">
        <v>564.01</v>
      </c>
      <c r="R102" t="s">
        <v>32</v>
      </c>
      <c r="S102" s="1">
        <v>0</v>
      </c>
      <c r="T102" s="1">
        <v>564.01</v>
      </c>
      <c r="U102" s="1">
        <f t="shared" si="1"/>
        <v>564.01</v>
      </c>
      <c r="V102" s="1" t="s">
        <v>53</v>
      </c>
      <c r="W102" t="s">
        <v>53</v>
      </c>
      <c r="X102" t="s">
        <v>50</v>
      </c>
      <c r="Y102" t="s">
        <v>50</v>
      </c>
      <c r="Z102" s="2">
        <v>1</v>
      </c>
      <c r="AA102" s="2">
        <v>2</v>
      </c>
      <c r="AB102" s="1">
        <v>67.680000000000007</v>
      </c>
      <c r="AC102" s="1">
        <v>0</v>
      </c>
      <c r="AD102" t="s">
        <v>58</v>
      </c>
    </row>
    <row r="103" spans="1:30" x14ac:dyDescent="0.3">
      <c r="A103" s="2">
        <v>7526</v>
      </c>
      <c r="B103" s="3">
        <v>45577</v>
      </c>
      <c r="C103" s="2">
        <v>1090</v>
      </c>
      <c r="D103" s="2" t="s">
        <v>103</v>
      </c>
      <c r="E103" t="s">
        <v>74</v>
      </c>
      <c r="F103" t="s">
        <v>60</v>
      </c>
      <c r="G103" t="s">
        <v>55</v>
      </c>
      <c r="H103" t="s">
        <v>55</v>
      </c>
      <c r="I103" s="2">
        <v>2976</v>
      </c>
      <c r="J103" t="s">
        <v>51</v>
      </c>
      <c r="K103" t="s">
        <v>78</v>
      </c>
      <c r="L103" t="s">
        <v>61</v>
      </c>
      <c r="M103">
        <v>2023</v>
      </c>
      <c r="N103">
        <v>41</v>
      </c>
      <c r="O103" t="s">
        <v>56</v>
      </c>
      <c r="P103" s="2">
        <v>2</v>
      </c>
      <c r="Q103" s="1">
        <v>303.42</v>
      </c>
      <c r="R103" t="s">
        <v>32</v>
      </c>
      <c r="S103" s="1">
        <v>0</v>
      </c>
      <c r="T103" s="1">
        <v>303.42</v>
      </c>
      <c r="U103" s="1">
        <f t="shared" si="1"/>
        <v>303.42</v>
      </c>
      <c r="V103" s="1" t="s">
        <v>113</v>
      </c>
      <c r="W103" t="s">
        <v>57</v>
      </c>
      <c r="X103" t="s">
        <v>34</v>
      </c>
      <c r="Y103" t="s">
        <v>34</v>
      </c>
      <c r="Z103" s="2">
        <v>5</v>
      </c>
      <c r="AA103" s="2">
        <v>5</v>
      </c>
      <c r="AB103" s="1">
        <v>36.409999999999997</v>
      </c>
      <c r="AC103" s="1">
        <v>0</v>
      </c>
      <c r="AD103" t="s">
        <v>35</v>
      </c>
    </row>
    <row r="104" spans="1:30" x14ac:dyDescent="0.3">
      <c r="A104" s="2">
        <v>7527</v>
      </c>
      <c r="B104" s="3">
        <v>45515</v>
      </c>
      <c r="C104" s="2">
        <v>1008</v>
      </c>
      <c r="D104" s="2" t="s">
        <v>79</v>
      </c>
      <c r="E104" t="s">
        <v>79</v>
      </c>
      <c r="F104" t="s">
        <v>60</v>
      </c>
      <c r="G104" t="s">
        <v>27</v>
      </c>
      <c r="H104" t="s">
        <v>27</v>
      </c>
      <c r="I104" s="2">
        <v>2326</v>
      </c>
      <c r="J104" t="s">
        <v>39</v>
      </c>
      <c r="K104" t="s">
        <v>29</v>
      </c>
      <c r="L104" t="s">
        <v>61</v>
      </c>
      <c r="M104">
        <v>2024</v>
      </c>
      <c r="N104">
        <v>41</v>
      </c>
      <c r="O104" t="s">
        <v>75</v>
      </c>
      <c r="P104" s="2">
        <v>4</v>
      </c>
      <c r="Q104" s="1">
        <v>390.96</v>
      </c>
      <c r="R104" t="s">
        <v>32</v>
      </c>
      <c r="S104" s="1">
        <v>0</v>
      </c>
      <c r="T104" s="1">
        <v>390.96</v>
      </c>
      <c r="U104" s="1">
        <f t="shared" si="1"/>
        <v>390.96</v>
      </c>
      <c r="V104" s="1" t="s">
        <v>53</v>
      </c>
      <c r="W104" t="s">
        <v>53</v>
      </c>
      <c r="X104" t="s">
        <v>50</v>
      </c>
      <c r="Y104" t="s">
        <v>50</v>
      </c>
      <c r="Z104" s="2">
        <v>7</v>
      </c>
      <c r="AA104" s="2">
        <v>1</v>
      </c>
      <c r="AB104" s="1">
        <v>46.92</v>
      </c>
      <c r="AC104" s="1">
        <v>0</v>
      </c>
      <c r="AD104" t="s">
        <v>58</v>
      </c>
    </row>
    <row r="105" spans="1:30" x14ac:dyDescent="0.3">
      <c r="A105" s="2">
        <v>7528</v>
      </c>
      <c r="B105" s="3">
        <v>45500</v>
      </c>
      <c r="C105" s="2">
        <v>1055</v>
      </c>
      <c r="D105" s="2" t="s">
        <v>94</v>
      </c>
      <c r="E105" t="s">
        <v>94</v>
      </c>
      <c r="F105" t="s">
        <v>60</v>
      </c>
      <c r="G105" t="s">
        <v>27</v>
      </c>
      <c r="H105" t="s">
        <v>27</v>
      </c>
      <c r="I105" s="2">
        <v>2017</v>
      </c>
      <c r="J105" t="s">
        <v>39</v>
      </c>
      <c r="K105" t="s">
        <v>47</v>
      </c>
      <c r="L105" t="s">
        <v>61</v>
      </c>
      <c r="M105">
        <v>2024</v>
      </c>
      <c r="N105">
        <v>37</v>
      </c>
      <c r="O105" t="s">
        <v>31</v>
      </c>
      <c r="P105" s="2">
        <v>5</v>
      </c>
      <c r="Q105" s="1">
        <v>469.77</v>
      </c>
      <c r="R105" t="s">
        <v>32</v>
      </c>
      <c r="S105" s="1">
        <v>0</v>
      </c>
      <c r="T105" s="1">
        <v>469.77</v>
      </c>
      <c r="U105" s="1">
        <f t="shared" si="1"/>
        <v>469.77</v>
      </c>
      <c r="V105" s="1" t="s">
        <v>113</v>
      </c>
      <c r="W105" t="s">
        <v>57</v>
      </c>
      <c r="X105" t="s">
        <v>50</v>
      </c>
      <c r="Y105" t="s">
        <v>50</v>
      </c>
      <c r="Z105" s="2">
        <v>1</v>
      </c>
      <c r="AA105" s="2">
        <v>4</v>
      </c>
      <c r="AB105" s="1">
        <v>56.37</v>
      </c>
      <c r="AC105" s="1">
        <v>0</v>
      </c>
      <c r="AD105" t="s">
        <v>35</v>
      </c>
    </row>
    <row r="106" spans="1:30" x14ac:dyDescent="0.3">
      <c r="A106" s="2">
        <v>7529</v>
      </c>
      <c r="B106" s="3">
        <v>45571</v>
      </c>
      <c r="C106" s="2">
        <v>1074</v>
      </c>
      <c r="D106" s="2" t="s">
        <v>70</v>
      </c>
      <c r="E106" t="s">
        <v>70</v>
      </c>
      <c r="F106" t="s">
        <v>60</v>
      </c>
      <c r="G106" t="s">
        <v>109</v>
      </c>
      <c r="H106" t="s">
        <v>38</v>
      </c>
      <c r="I106" s="2">
        <v>2382</v>
      </c>
      <c r="J106" t="s">
        <v>51</v>
      </c>
      <c r="K106" t="s">
        <v>47</v>
      </c>
      <c r="L106" t="s">
        <v>41</v>
      </c>
      <c r="M106">
        <v>2022</v>
      </c>
      <c r="N106">
        <v>42</v>
      </c>
      <c r="O106" t="s">
        <v>31</v>
      </c>
      <c r="P106" s="2">
        <v>2</v>
      </c>
      <c r="Q106" s="1">
        <v>331.64</v>
      </c>
      <c r="R106" t="s">
        <v>32</v>
      </c>
      <c r="S106" s="1">
        <v>0</v>
      </c>
      <c r="T106" s="1">
        <v>331.64</v>
      </c>
      <c r="U106" s="1">
        <f t="shared" si="1"/>
        <v>331.64</v>
      </c>
      <c r="V106" s="1" t="s">
        <v>112</v>
      </c>
      <c r="W106" t="s">
        <v>33</v>
      </c>
      <c r="X106" t="s">
        <v>50</v>
      </c>
      <c r="Y106" t="s">
        <v>50</v>
      </c>
      <c r="Z106" s="2">
        <v>1</v>
      </c>
      <c r="AA106" s="2">
        <v>2</v>
      </c>
      <c r="AB106" s="1">
        <v>39.799999999999997</v>
      </c>
      <c r="AC106" s="1">
        <v>0</v>
      </c>
      <c r="AD106" t="s">
        <v>58</v>
      </c>
    </row>
    <row r="107" spans="1:30" x14ac:dyDescent="0.3">
      <c r="A107" s="2">
        <v>7530</v>
      </c>
      <c r="B107" s="3">
        <v>45571</v>
      </c>
      <c r="C107" s="2">
        <v>1070</v>
      </c>
      <c r="D107" s="2" t="s">
        <v>77</v>
      </c>
      <c r="E107" t="s">
        <v>77</v>
      </c>
      <c r="F107" t="s">
        <v>73</v>
      </c>
      <c r="G107" t="s">
        <v>109</v>
      </c>
      <c r="H107" t="s">
        <v>38</v>
      </c>
      <c r="I107" s="2">
        <v>2526</v>
      </c>
      <c r="J107" t="s">
        <v>51</v>
      </c>
      <c r="K107" t="s">
        <v>52</v>
      </c>
      <c r="L107" t="s">
        <v>61</v>
      </c>
      <c r="M107">
        <v>2024</v>
      </c>
      <c r="N107">
        <v>41</v>
      </c>
      <c r="O107" t="s">
        <v>56</v>
      </c>
      <c r="P107" s="2">
        <v>4</v>
      </c>
      <c r="Q107" s="1">
        <v>512.23</v>
      </c>
      <c r="R107" t="s">
        <v>42</v>
      </c>
      <c r="S107" s="1">
        <v>51.22</v>
      </c>
      <c r="T107" s="1">
        <v>461.01</v>
      </c>
      <c r="U107" s="1">
        <f t="shared" si="1"/>
        <v>461.01</v>
      </c>
      <c r="V107" s="1" t="s">
        <v>53</v>
      </c>
      <c r="W107" t="s">
        <v>53</v>
      </c>
      <c r="X107" t="s">
        <v>34</v>
      </c>
      <c r="Y107" t="s">
        <v>34</v>
      </c>
      <c r="Z107" s="2">
        <v>10</v>
      </c>
      <c r="AA107" s="2">
        <v>3</v>
      </c>
      <c r="AB107" s="1">
        <v>61.47</v>
      </c>
      <c r="AC107" s="1">
        <v>25.61</v>
      </c>
      <c r="AD107" t="s">
        <v>69</v>
      </c>
    </row>
    <row r="108" spans="1:30" x14ac:dyDescent="0.3">
      <c r="A108" s="2">
        <v>7531</v>
      </c>
      <c r="B108" s="3">
        <v>45716</v>
      </c>
      <c r="C108" s="2">
        <v>1053</v>
      </c>
      <c r="D108" s="2" t="s">
        <v>101</v>
      </c>
      <c r="E108" t="s">
        <v>44</v>
      </c>
      <c r="F108" t="s">
        <v>45</v>
      </c>
      <c r="G108" t="s">
        <v>109</v>
      </c>
      <c r="H108" t="s">
        <v>38</v>
      </c>
      <c r="I108" s="2">
        <v>2219</v>
      </c>
      <c r="J108" t="s">
        <v>63</v>
      </c>
      <c r="K108" t="s">
        <v>47</v>
      </c>
      <c r="L108" t="s">
        <v>30</v>
      </c>
      <c r="M108">
        <v>2024</v>
      </c>
      <c r="N108">
        <v>37</v>
      </c>
      <c r="O108" t="s">
        <v>75</v>
      </c>
      <c r="P108" s="2">
        <v>4</v>
      </c>
      <c r="Q108" s="1">
        <v>462.34</v>
      </c>
      <c r="R108" t="s">
        <v>32</v>
      </c>
      <c r="S108" s="1">
        <v>0</v>
      </c>
      <c r="T108" s="1">
        <v>462.34</v>
      </c>
      <c r="U108" s="1">
        <f t="shared" si="1"/>
        <v>462.34</v>
      </c>
      <c r="V108" s="1" t="s">
        <v>49</v>
      </c>
      <c r="W108" t="s">
        <v>49</v>
      </c>
      <c r="X108" t="s">
        <v>34</v>
      </c>
      <c r="Y108" t="s">
        <v>34</v>
      </c>
      <c r="Z108" s="2">
        <v>7</v>
      </c>
      <c r="AA108" s="2">
        <v>3</v>
      </c>
      <c r="AB108" s="1">
        <v>55.48</v>
      </c>
      <c r="AC108" s="1">
        <v>0</v>
      </c>
      <c r="AD108" t="s">
        <v>35</v>
      </c>
    </row>
    <row r="109" spans="1:30" x14ac:dyDescent="0.3">
      <c r="A109" s="2">
        <v>7532</v>
      </c>
      <c r="B109" s="3">
        <v>45609</v>
      </c>
      <c r="C109" s="2">
        <v>1040</v>
      </c>
      <c r="D109" s="2" t="s">
        <v>100</v>
      </c>
      <c r="E109" t="s">
        <v>25</v>
      </c>
      <c r="F109" t="s">
        <v>45</v>
      </c>
      <c r="G109" t="s">
        <v>109</v>
      </c>
      <c r="H109" t="s">
        <v>38</v>
      </c>
      <c r="I109" s="2">
        <v>2098</v>
      </c>
      <c r="J109" t="s">
        <v>51</v>
      </c>
      <c r="K109" t="s">
        <v>52</v>
      </c>
      <c r="L109" t="s">
        <v>61</v>
      </c>
      <c r="M109">
        <v>2022</v>
      </c>
      <c r="N109">
        <v>37</v>
      </c>
      <c r="O109" t="s">
        <v>31</v>
      </c>
      <c r="P109" s="2">
        <v>4</v>
      </c>
      <c r="Q109" s="1">
        <v>711.25</v>
      </c>
      <c r="R109" t="s">
        <v>32</v>
      </c>
      <c r="S109" s="1">
        <v>0</v>
      </c>
      <c r="T109" s="1">
        <v>711.25</v>
      </c>
      <c r="U109" s="1">
        <f t="shared" si="1"/>
        <v>711.25</v>
      </c>
      <c r="V109" s="1" t="s">
        <v>112</v>
      </c>
      <c r="W109" t="s">
        <v>33</v>
      </c>
      <c r="X109" t="s">
        <v>50</v>
      </c>
      <c r="Y109" t="s">
        <v>50</v>
      </c>
      <c r="Z109" s="2">
        <v>4</v>
      </c>
      <c r="AA109" s="2">
        <v>4</v>
      </c>
      <c r="AB109" s="1">
        <v>85.35</v>
      </c>
      <c r="AC109" s="1">
        <v>0</v>
      </c>
      <c r="AD109" t="s">
        <v>35</v>
      </c>
    </row>
    <row r="110" spans="1:30" x14ac:dyDescent="0.3">
      <c r="A110" s="2">
        <v>7533</v>
      </c>
      <c r="B110" s="3">
        <v>45651</v>
      </c>
      <c r="C110" s="2">
        <v>1094</v>
      </c>
      <c r="D110" s="2" t="s">
        <v>104</v>
      </c>
      <c r="E110" t="s">
        <v>76</v>
      </c>
      <c r="F110" t="s">
        <v>60</v>
      </c>
      <c r="G110" t="s">
        <v>55</v>
      </c>
      <c r="H110" t="s">
        <v>55</v>
      </c>
      <c r="I110" s="2">
        <v>2258</v>
      </c>
      <c r="J110" t="s">
        <v>80</v>
      </c>
      <c r="K110" t="s">
        <v>64</v>
      </c>
      <c r="L110" t="s">
        <v>41</v>
      </c>
      <c r="M110">
        <v>2023</v>
      </c>
      <c r="N110">
        <v>40</v>
      </c>
      <c r="O110" t="s">
        <v>31</v>
      </c>
      <c r="P110" s="2">
        <v>5</v>
      </c>
      <c r="Q110" s="1">
        <v>588.34</v>
      </c>
      <c r="R110" t="s">
        <v>42</v>
      </c>
      <c r="S110" s="1">
        <v>58.83</v>
      </c>
      <c r="T110" s="1">
        <v>529.51</v>
      </c>
      <c r="U110" s="1">
        <f t="shared" si="1"/>
        <v>529.51</v>
      </c>
      <c r="V110" s="1" t="s">
        <v>53</v>
      </c>
      <c r="W110" t="s">
        <v>53</v>
      </c>
      <c r="X110" t="s">
        <v>34</v>
      </c>
      <c r="Y110" t="s">
        <v>34</v>
      </c>
      <c r="Z110" s="2">
        <v>10</v>
      </c>
      <c r="AA110" s="2">
        <v>2</v>
      </c>
      <c r="AB110" s="1">
        <v>70.599999999999994</v>
      </c>
      <c r="AC110" s="1">
        <v>29.42</v>
      </c>
      <c r="AD110" t="s">
        <v>69</v>
      </c>
    </row>
    <row r="111" spans="1:30" x14ac:dyDescent="0.3">
      <c r="A111" s="2">
        <v>7534</v>
      </c>
      <c r="B111" s="3">
        <v>45587</v>
      </c>
      <c r="C111" s="2">
        <v>1057</v>
      </c>
      <c r="D111" s="2" t="s">
        <v>36</v>
      </c>
      <c r="E111" t="s">
        <v>36</v>
      </c>
      <c r="F111" t="s">
        <v>37</v>
      </c>
      <c r="G111" t="s">
        <v>27</v>
      </c>
      <c r="H111" t="s">
        <v>27</v>
      </c>
      <c r="I111" s="2">
        <v>2178</v>
      </c>
      <c r="J111" t="s">
        <v>80</v>
      </c>
      <c r="K111" t="s">
        <v>68</v>
      </c>
      <c r="L111" t="s">
        <v>61</v>
      </c>
      <c r="M111">
        <v>2023</v>
      </c>
      <c r="N111">
        <v>42</v>
      </c>
      <c r="O111" t="s">
        <v>56</v>
      </c>
      <c r="P111" s="2">
        <v>1</v>
      </c>
      <c r="Q111" s="1">
        <v>567.98</v>
      </c>
      <c r="R111" t="s">
        <v>42</v>
      </c>
      <c r="S111" s="1">
        <v>56.8</v>
      </c>
      <c r="T111" s="1">
        <v>511.18</v>
      </c>
      <c r="U111" s="1">
        <f t="shared" si="1"/>
        <v>511.18</v>
      </c>
      <c r="V111" s="1" t="s">
        <v>113</v>
      </c>
      <c r="W111" t="s">
        <v>57</v>
      </c>
      <c r="X111" t="s">
        <v>34</v>
      </c>
      <c r="Y111" t="s">
        <v>34</v>
      </c>
      <c r="Z111" s="2">
        <v>1</v>
      </c>
      <c r="AA111" s="2">
        <v>4</v>
      </c>
      <c r="AB111" s="1">
        <v>68.16</v>
      </c>
      <c r="AC111" s="1">
        <v>28.4</v>
      </c>
      <c r="AD111" t="s">
        <v>35</v>
      </c>
    </row>
    <row r="112" spans="1:30" x14ac:dyDescent="0.3">
      <c r="A112" s="2">
        <v>7535</v>
      </c>
      <c r="B112" s="3">
        <v>45459</v>
      </c>
      <c r="C112" s="2">
        <v>1038</v>
      </c>
      <c r="D112" s="2" t="s">
        <v>89</v>
      </c>
      <c r="E112" t="s">
        <v>89</v>
      </c>
      <c r="F112" t="s">
        <v>26</v>
      </c>
      <c r="G112" t="s">
        <v>109</v>
      </c>
      <c r="H112" t="s">
        <v>38</v>
      </c>
      <c r="I112" s="2">
        <v>2083</v>
      </c>
      <c r="J112" t="s">
        <v>51</v>
      </c>
      <c r="K112" t="s">
        <v>40</v>
      </c>
      <c r="L112" t="s">
        <v>30</v>
      </c>
      <c r="M112">
        <v>2023</v>
      </c>
      <c r="N112">
        <v>41</v>
      </c>
      <c r="O112" t="s">
        <v>48</v>
      </c>
      <c r="P112" s="2">
        <v>2</v>
      </c>
      <c r="Q112" s="1">
        <v>340.05</v>
      </c>
      <c r="R112" t="s">
        <v>32</v>
      </c>
      <c r="S112" s="1">
        <v>0</v>
      </c>
      <c r="T112" s="1">
        <v>340.05</v>
      </c>
      <c r="U112" s="1">
        <f t="shared" si="1"/>
        <v>340.05</v>
      </c>
      <c r="V112" s="1" t="s">
        <v>49</v>
      </c>
      <c r="W112" t="s">
        <v>49</v>
      </c>
      <c r="X112" t="s">
        <v>50</v>
      </c>
      <c r="Y112" t="s">
        <v>50</v>
      </c>
      <c r="Z112" s="2">
        <v>13</v>
      </c>
      <c r="AA112" s="2">
        <v>2</v>
      </c>
      <c r="AB112" s="1">
        <v>40.81</v>
      </c>
      <c r="AC112" s="1">
        <v>0</v>
      </c>
      <c r="AD112" t="s">
        <v>58</v>
      </c>
    </row>
    <row r="113" spans="1:30" x14ac:dyDescent="0.3">
      <c r="A113" s="2">
        <v>7536</v>
      </c>
      <c r="B113" s="3">
        <v>45630</v>
      </c>
      <c r="C113" s="2">
        <v>1040</v>
      </c>
      <c r="D113" s="2" t="s">
        <v>102</v>
      </c>
      <c r="E113" t="s">
        <v>54</v>
      </c>
      <c r="F113" t="s">
        <v>26</v>
      </c>
      <c r="G113" t="s">
        <v>109</v>
      </c>
      <c r="H113" t="s">
        <v>38</v>
      </c>
      <c r="I113" s="2">
        <v>2122</v>
      </c>
      <c r="J113" t="s">
        <v>46</v>
      </c>
      <c r="K113" t="s">
        <v>40</v>
      </c>
      <c r="L113" t="s">
        <v>41</v>
      </c>
      <c r="M113">
        <v>2024</v>
      </c>
      <c r="N113">
        <v>42</v>
      </c>
      <c r="O113" t="s">
        <v>66</v>
      </c>
      <c r="P113" s="2">
        <v>4</v>
      </c>
      <c r="Q113" s="1">
        <v>528.42999999999995</v>
      </c>
      <c r="R113" t="s">
        <v>32</v>
      </c>
      <c r="S113" s="1">
        <v>0</v>
      </c>
      <c r="T113" s="1">
        <v>528.42999999999995</v>
      </c>
      <c r="U113" s="1">
        <f t="shared" si="1"/>
        <v>528.42999999999995</v>
      </c>
      <c r="V113" s="1" t="s">
        <v>49</v>
      </c>
      <c r="W113" t="s">
        <v>49</v>
      </c>
      <c r="X113" t="s">
        <v>50</v>
      </c>
      <c r="Y113" t="s">
        <v>50</v>
      </c>
      <c r="Z113" s="2">
        <v>7</v>
      </c>
      <c r="AA113" s="2">
        <v>3</v>
      </c>
      <c r="AB113" s="1">
        <v>63.41</v>
      </c>
      <c r="AC113" s="1">
        <v>0</v>
      </c>
      <c r="AD113" t="s">
        <v>35</v>
      </c>
    </row>
    <row r="114" spans="1:30" x14ac:dyDescent="0.3">
      <c r="A114" s="2">
        <v>7537</v>
      </c>
      <c r="B114" s="3">
        <v>45741</v>
      </c>
      <c r="C114" s="2">
        <v>1082</v>
      </c>
      <c r="D114" s="2" t="s">
        <v>98</v>
      </c>
      <c r="E114" t="s">
        <v>98</v>
      </c>
      <c r="F114" t="s">
        <v>45</v>
      </c>
      <c r="G114" t="s">
        <v>109</v>
      </c>
      <c r="H114" t="s">
        <v>38</v>
      </c>
      <c r="I114" s="2">
        <v>2829</v>
      </c>
      <c r="J114" t="s">
        <v>28</v>
      </c>
      <c r="K114" t="s">
        <v>64</v>
      </c>
      <c r="L114" t="s">
        <v>61</v>
      </c>
      <c r="M114">
        <v>2023</v>
      </c>
      <c r="N114">
        <v>37</v>
      </c>
      <c r="O114" t="s">
        <v>56</v>
      </c>
      <c r="P114" s="2">
        <v>4</v>
      </c>
      <c r="Q114" s="1">
        <v>670.36</v>
      </c>
      <c r="R114" t="s">
        <v>32</v>
      </c>
      <c r="S114" s="1">
        <v>0</v>
      </c>
      <c r="T114" s="1">
        <v>670.36</v>
      </c>
      <c r="U114" s="1">
        <f t="shared" si="1"/>
        <v>670.36</v>
      </c>
      <c r="V114" s="1" t="s">
        <v>112</v>
      </c>
      <c r="W114" t="s">
        <v>33</v>
      </c>
      <c r="X114" t="s">
        <v>50</v>
      </c>
      <c r="Y114" t="s">
        <v>50</v>
      </c>
      <c r="Z114" s="2">
        <v>12</v>
      </c>
      <c r="AA114" s="2">
        <v>3</v>
      </c>
      <c r="AB114" s="1">
        <v>80.44</v>
      </c>
      <c r="AC114" s="1">
        <v>0</v>
      </c>
      <c r="AD114" t="s">
        <v>69</v>
      </c>
    </row>
    <row r="115" spans="1:30" x14ac:dyDescent="0.3">
      <c r="A115" s="2">
        <v>7538</v>
      </c>
      <c r="B115" s="3">
        <v>45775</v>
      </c>
      <c r="C115" s="2">
        <v>1012</v>
      </c>
      <c r="D115" s="2" t="s">
        <v>106</v>
      </c>
      <c r="E115" t="s">
        <v>97</v>
      </c>
      <c r="F115" t="s">
        <v>60</v>
      </c>
      <c r="G115" t="s">
        <v>55</v>
      </c>
      <c r="H115" t="s">
        <v>55</v>
      </c>
      <c r="I115" s="2">
        <v>2023</v>
      </c>
      <c r="J115" t="s">
        <v>71</v>
      </c>
      <c r="K115" t="s">
        <v>64</v>
      </c>
      <c r="L115" t="s">
        <v>61</v>
      </c>
      <c r="M115">
        <v>2024</v>
      </c>
      <c r="N115">
        <v>40</v>
      </c>
      <c r="O115" t="s">
        <v>48</v>
      </c>
      <c r="P115" s="2">
        <v>5</v>
      </c>
      <c r="Q115" s="1">
        <v>538.64</v>
      </c>
      <c r="R115" t="s">
        <v>32</v>
      </c>
      <c r="S115" s="1">
        <v>0</v>
      </c>
      <c r="T115" s="1">
        <v>538.64</v>
      </c>
      <c r="U115" s="1">
        <f t="shared" si="1"/>
        <v>538.64</v>
      </c>
      <c r="V115" s="1" t="s">
        <v>53</v>
      </c>
      <c r="W115" t="s">
        <v>53</v>
      </c>
      <c r="X115" t="s">
        <v>115</v>
      </c>
      <c r="Y115" t="s">
        <v>43</v>
      </c>
      <c r="Z115" s="2">
        <v>2</v>
      </c>
      <c r="AA115" s="2">
        <v>5</v>
      </c>
      <c r="AB115" s="1">
        <v>64.64</v>
      </c>
      <c r="AC115" s="1">
        <v>0</v>
      </c>
      <c r="AD115" t="s">
        <v>69</v>
      </c>
    </row>
    <row r="116" spans="1:30" x14ac:dyDescent="0.3">
      <c r="A116" s="2">
        <v>7539</v>
      </c>
      <c r="B116" s="3">
        <v>45696</v>
      </c>
      <c r="C116" s="2">
        <v>1083</v>
      </c>
      <c r="D116" s="2" t="s">
        <v>77</v>
      </c>
      <c r="E116" t="s">
        <v>77</v>
      </c>
      <c r="F116" t="s">
        <v>73</v>
      </c>
      <c r="G116" t="s">
        <v>109</v>
      </c>
      <c r="H116" t="s">
        <v>38</v>
      </c>
      <c r="I116" s="2">
        <v>2970</v>
      </c>
      <c r="J116" t="s">
        <v>51</v>
      </c>
      <c r="K116" t="s">
        <v>68</v>
      </c>
      <c r="L116" t="s">
        <v>61</v>
      </c>
      <c r="M116">
        <v>2024</v>
      </c>
      <c r="N116">
        <v>41</v>
      </c>
      <c r="O116" t="s">
        <v>66</v>
      </c>
      <c r="P116" s="2">
        <v>4</v>
      </c>
      <c r="Q116" s="1">
        <v>755.82</v>
      </c>
      <c r="R116" t="s">
        <v>32</v>
      </c>
      <c r="S116" s="1">
        <v>0</v>
      </c>
      <c r="T116" s="1">
        <v>755.82</v>
      </c>
      <c r="U116" s="1">
        <f t="shared" si="1"/>
        <v>755.82</v>
      </c>
      <c r="V116" s="1" t="s">
        <v>113</v>
      </c>
      <c r="W116" t="s">
        <v>57</v>
      </c>
      <c r="X116" t="s">
        <v>115</v>
      </c>
      <c r="Y116" t="s">
        <v>43</v>
      </c>
      <c r="Z116" s="2">
        <v>6</v>
      </c>
      <c r="AA116" s="2">
        <v>4</v>
      </c>
      <c r="AB116" s="1">
        <v>90.7</v>
      </c>
      <c r="AC116" s="1">
        <v>0</v>
      </c>
      <c r="AD116" t="s">
        <v>69</v>
      </c>
    </row>
    <row r="117" spans="1:30" x14ac:dyDescent="0.3">
      <c r="A117" s="2">
        <v>7540</v>
      </c>
      <c r="B117" s="3">
        <v>45465</v>
      </c>
      <c r="C117" s="2">
        <v>1015</v>
      </c>
      <c r="D117" s="2" t="s">
        <v>82</v>
      </c>
      <c r="E117" t="s">
        <v>82</v>
      </c>
      <c r="F117" t="s">
        <v>37</v>
      </c>
      <c r="G117" t="s">
        <v>55</v>
      </c>
      <c r="H117" t="s">
        <v>55</v>
      </c>
      <c r="I117" s="2">
        <v>2341</v>
      </c>
      <c r="J117" t="s">
        <v>51</v>
      </c>
      <c r="K117" t="s">
        <v>40</v>
      </c>
      <c r="L117" t="s">
        <v>61</v>
      </c>
      <c r="M117">
        <v>2024</v>
      </c>
      <c r="N117">
        <v>38</v>
      </c>
      <c r="O117" t="s">
        <v>56</v>
      </c>
      <c r="P117" s="2">
        <v>1</v>
      </c>
      <c r="Q117" s="1">
        <v>694.83</v>
      </c>
      <c r="R117" t="s">
        <v>32</v>
      </c>
      <c r="S117" s="1">
        <v>0</v>
      </c>
      <c r="T117" s="1">
        <v>694.83</v>
      </c>
      <c r="U117" s="1">
        <f t="shared" si="1"/>
        <v>694.83</v>
      </c>
      <c r="V117" s="1" t="s">
        <v>113</v>
      </c>
      <c r="W117" t="s">
        <v>57</v>
      </c>
      <c r="X117" t="s">
        <v>115</v>
      </c>
      <c r="Y117" t="s">
        <v>43</v>
      </c>
      <c r="Z117" s="2">
        <v>8</v>
      </c>
      <c r="AA117" s="2">
        <v>5</v>
      </c>
      <c r="AB117" s="1">
        <v>83.38</v>
      </c>
      <c r="AC117" s="1">
        <v>0</v>
      </c>
      <c r="AD117" t="s">
        <v>69</v>
      </c>
    </row>
    <row r="118" spans="1:30" x14ac:dyDescent="0.3">
      <c r="A118" s="2">
        <v>7541</v>
      </c>
      <c r="B118" s="3">
        <v>45738</v>
      </c>
      <c r="C118" s="2">
        <v>1079</v>
      </c>
      <c r="D118" s="2" t="s">
        <v>83</v>
      </c>
      <c r="E118" t="s">
        <v>83</v>
      </c>
      <c r="F118" t="s">
        <v>26</v>
      </c>
      <c r="G118" t="s">
        <v>55</v>
      </c>
      <c r="H118" t="s">
        <v>55</v>
      </c>
      <c r="I118" s="2">
        <v>2228</v>
      </c>
      <c r="J118" t="s">
        <v>71</v>
      </c>
      <c r="K118" t="s">
        <v>68</v>
      </c>
      <c r="L118" t="s">
        <v>41</v>
      </c>
      <c r="M118">
        <v>2023</v>
      </c>
      <c r="N118">
        <v>40</v>
      </c>
      <c r="O118" t="s">
        <v>75</v>
      </c>
      <c r="P118" s="2">
        <v>4</v>
      </c>
      <c r="Q118" s="1">
        <v>367.7</v>
      </c>
      <c r="R118" t="s">
        <v>42</v>
      </c>
      <c r="S118" s="1">
        <v>36.770000000000003</v>
      </c>
      <c r="T118" s="1">
        <v>330.93</v>
      </c>
      <c r="U118" s="1">
        <f t="shared" si="1"/>
        <v>330.93</v>
      </c>
      <c r="V118" s="1" t="s">
        <v>112</v>
      </c>
      <c r="W118" t="s">
        <v>33</v>
      </c>
      <c r="X118" t="s">
        <v>50</v>
      </c>
      <c r="Y118" t="s">
        <v>50</v>
      </c>
      <c r="Z118" s="2">
        <v>6</v>
      </c>
      <c r="AA118" s="2">
        <v>4</v>
      </c>
      <c r="AB118" s="1">
        <v>44.12</v>
      </c>
      <c r="AC118" s="1">
        <v>18.39</v>
      </c>
      <c r="AD118" t="s">
        <v>58</v>
      </c>
    </row>
    <row r="119" spans="1:30" x14ac:dyDescent="0.3">
      <c r="A119" s="2">
        <v>7542</v>
      </c>
      <c r="B119" s="3">
        <v>45608</v>
      </c>
      <c r="C119" s="2">
        <v>1020</v>
      </c>
      <c r="D119" s="2" t="s">
        <v>87</v>
      </c>
      <c r="E119" t="s">
        <v>87</v>
      </c>
      <c r="F119" t="s">
        <v>73</v>
      </c>
      <c r="G119" t="s">
        <v>27</v>
      </c>
      <c r="H119" t="s">
        <v>27</v>
      </c>
      <c r="I119" s="2">
        <v>2900</v>
      </c>
      <c r="J119" t="s">
        <v>39</v>
      </c>
      <c r="K119" t="s">
        <v>52</v>
      </c>
      <c r="L119" t="s">
        <v>61</v>
      </c>
      <c r="M119">
        <v>2024</v>
      </c>
      <c r="N119">
        <v>41</v>
      </c>
      <c r="O119" t="s">
        <v>48</v>
      </c>
      <c r="P119" s="2">
        <v>1</v>
      </c>
      <c r="Q119" s="1">
        <v>393.63</v>
      </c>
      <c r="R119" t="s">
        <v>42</v>
      </c>
      <c r="S119" s="1">
        <v>39.36</v>
      </c>
      <c r="T119" s="1">
        <v>354.27</v>
      </c>
      <c r="U119" s="1">
        <f t="shared" si="1"/>
        <v>354.27</v>
      </c>
      <c r="V119" s="1" t="s">
        <v>113</v>
      </c>
      <c r="W119" t="s">
        <v>57</v>
      </c>
      <c r="X119" t="s">
        <v>50</v>
      </c>
      <c r="Y119" t="s">
        <v>50</v>
      </c>
      <c r="Z119" s="2">
        <v>15</v>
      </c>
      <c r="AA119" s="2">
        <v>1</v>
      </c>
      <c r="AB119" s="1">
        <v>47.24</v>
      </c>
      <c r="AC119" s="1">
        <v>19.68</v>
      </c>
      <c r="AD119" t="s">
        <v>69</v>
      </c>
    </row>
    <row r="120" spans="1:30" x14ac:dyDescent="0.3">
      <c r="A120" s="2">
        <v>7543</v>
      </c>
      <c r="B120" s="3">
        <v>45716</v>
      </c>
      <c r="C120" s="2">
        <v>1100</v>
      </c>
      <c r="D120" s="2" t="s">
        <v>100</v>
      </c>
      <c r="E120" t="s">
        <v>25</v>
      </c>
      <c r="F120" t="s">
        <v>37</v>
      </c>
      <c r="G120" t="s">
        <v>27</v>
      </c>
      <c r="H120" t="s">
        <v>27</v>
      </c>
      <c r="I120" s="2">
        <v>2586</v>
      </c>
      <c r="J120" t="s">
        <v>51</v>
      </c>
      <c r="K120" t="s">
        <v>40</v>
      </c>
      <c r="L120" t="s">
        <v>41</v>
      </c>
      <c r="M120">
        <v>2022</v>
      </c>
      <c r="N120">
        <v>42</v>
      </c>
      <c r="O120" t="s">
        <v>75</v>
      </c>
      <c r="P120" s="2">
        <v>5</v>
      </c>
      <c r="Q120" s="1">
        <v>712.96</v>
      </c>
      <c r="R120" t="s">
        <v>32</v>
      </c>
      <c r="S120" s="1">
        <v>0</v>
      </c>
      <c r="T120" s="1">
        <v>712.96</v>
      </c>
      <c r="U120" s="1">
        <f t="shared" si="1"/>
        <v>712.96</v>
      </c>
      <c r="V120" s="1" t="s">
        <v>49</v>
      </c>
      <c r="W120" t="s">
        <v>49</v>
      </c>
      <c r="X120" t="s">
        <v>34</v>
      </c>
      <c r="Y120" t="s">
        <v>34</v>
      </c>
      <c r="Z120" s="2">
        <v>15</v>
      </c>
      <c r="AA120" s="2">
        <v>5</v>
      </c>
      <c r="AB120" s="1">
        <v>85.56</v>
      </c>
      <c r="AC120" s="1">
        <v>0</v>
      </c>
      <c r="AD120" t="s">
        <v>35</v>
      </c>
    </row>
    <row r="121" spans="1:30" x14ac:dyDescent="0.3">
      <c r="A121" s="2">
        <v>7544</v>
      </c>
      <c r="B121" s="3">
        <v>45507</v>
      </c>
      <c r="C121" s="2">
        <v>1025</v>
      </c>
      <c r="D121" s="2" t="s">
        <v>82</v>
      </c>
      <c r="E121" t="s">
        <v>82</v>
      </c>
      <c r="F121" t="s">
        <v>60</v>
      </c>
      <c r="G121" t="s">
        <v>55</v>
      </c>
      <c r="H121" t="s">
        <v>55</v>
      </c>
      <c r="I121" s="2">
        <v>2449</v>
      </c>
      <c r="J121" t="s">
        <v>39</v>
      </c>
      <c r="K121" t="s">
        <v>68</v>
      </c>
      <c r="L121" t="s">
        <v>30</v>
      </c>
      <c r="M121">
        <v>2022</v>
      </c>
      <c r="N121">
        <v>40</v>
      </c>
      <c r="O121" t="s">
        <v>48</v>
      </c>
      <c r="P121" s="2">
        <v>5</v>
      </c>
      <c r="Q121" s="1">
        <v>519.16999999999996</v>
      </c>
      <c r="R121" t="s">
        <v>32</v>
      </c>
      <c r="S121" s="1">
        <v>0</v>
      </c>
      <c r="T121" s="1">
        <v>519.16999999999996</v>
      </c>
      <c r="U121" s="1">
        <f t="shared" si="1"/>
        <v>519.16999999999996</v>
      </c>
      <c r="V121" s="1" t="s">
        <v>53</v>
      </c>
      <c r="W121" t="s">
        <v>53</v>
      </c>
      <c r="X121" t="s">
        <v>34</v>
      </c>
      <c r="Y121" t="s">
        <v>34</v>
      </c>
      <c r="Z121" s="2">
        <v>12</v>
      </c>
      <c r="AA121" s="2">
        <v>5</v>
      </c>
      <c r="AB121" s="1">
        <v>62.3</v>
      </c>
      <c r="AC121" s="1">
        <v>0</v>
      </c>
      <c r="AD121" t="s">
        <v>69</v>
      </c>
    </row>
    <row r="122" spans="1:30" x14ac:dyDescent="0.3">
      <c r="A122" s="2">
        <v>7545</v>
      </c>
      <c r="B122" s="3">
        <v>45593</v>
      </c>
      <c r="C122" s="2">
        <v>1100</v>
      </c>
      <c r="D122" s="2" t="s">
        <v>98</v>
      </c>
      <c r="E122" t="s">
        <v>98</v>
      </c>
      <c r="F122" t="s">
        <v>26</v>
      </c>
      <c r="G122" t="s">
        <v>55</v>
      </c>
      <c r="H122" t="s">
        <v>55</v>
      </c>
      <c r="I122" s="2">
        <v>2118</v>
      </c>
      <c r="J122" t="s">
        <v>28</v>
      </c>
      <c r="K122" t="s">
        <v>78</v>
      </c>
      <c r="L122" t="s">
        <v>30</v>
      </c>
      <c r="M122">
        <v>2023</v>
      </c>
      <c r="N122">
        <v>39</v>
      </c>
      <c r="O122" t="s">
        <v>75</v>
      </c>
      <c r="P122" s="2">
        <v>4</v>
      </c>
      <c r="Q122" s="1">
        <v>737.11</v>
      </c>
      <c r="R122" t="s">
        <v>42</v>
      </c>
      <c r="S122" s="1">
        <v>73.709999999999994</v>
      </c>
      <c r="T122" s="1">
        <v>663.4</v>
      </c>
      <c r="U122" s="1">
        <f t="shared" si="1"/>
        <v>663.4</v>
      </c>
      <c r="V122" s="1" t="s">
        <v>112</v>
      </c>
      <c r="W122" t="s">
        <v>33</v>
      </c>
      <c r="X122" t="s">
        <v>50</v>
      </c>
      <c r="Y122" t="s">
        <v>50</v>
      </c>
      <c r="Z122" s="2">
        <v>6</v>
      </c>
      <c r="AA122" s="2">
        <v>4</v>
      </c>
      <c r="AB122" s="1">
        <v>88.45</v>
      </c>
      <c r="AC122" s="1">
        <v>36.86</v>
      </c>
      <c r="AD122" t="s">
        <v>69</v>
      </c>
    </row>
    <row r="123" spans="1:30" x14ac:dyDescent="0.3">
      <c r="A123" s="2">
        <v>7546</v>
      </c>
      <c r="B123" s="3">
        <v>45519</v>
      </c>
      <c r="C123" s="2">
        <v>1095</v>
      </c>
      <c r="D123" s="2" t="s">
        <v>98</v>
      </c>
      <c r="E123" t="s">
        <v>98</v>
      </c>
      <c r="F123" t="s">
        <v>26</v>
      </c>
      <c r="G123" t="s">
        <v>55</v>
      </c>
      <c r="H123" t="s">
        <v>55</v>
      </c>
      <c r="I123" s="2">
        <v>2160</v>
      </c>
      <c r="J123" t="s">
        <v>86</v>
      </c>
      <c r="K123" t="s">
        <v>40</v>
      </c>
      <c r="L123" t="s">
        <v>30</v>
      </c>
      <c r="M123">
        <v>2023</v>
      </c>
      <c r="N123">
        <v>40</v>
      </c>
      <c r="O123" t="s">
        <v>56</v>
      </c>
      <c r="P123" s="2">
        <v>5</v>
      </c>
      <c r="Q123" s="1">
        <v>595.17999999999995</v>
      </c>
      <c r="R123" t="s">
        <v>42</v>
      </c>
      <c r="S123" s="1">
        <v>59.52</v>
      </c>
      <c r="T123" s="1">
        <v>535.66</v>
      </c>
      <c r="U123" s="1">
        <f t="shared" si="1"/>
        <v>535.66</v>
      </c>
      <c r="V123" s="1" t="s">
        <v>112</v>
      </c>
      <c r="W123" t="s">
        <v>33</v>
      </c>
      <c r="X123" t="s">
        <v>50</v>
      </c>
      <c r="Y123" t="s">
        <v>50</v>
      </c>
      <c r="Z123" s="2">
        <v>2</v>
      </c>
      <c r="AA123" s="2">
        <v>1</v>
      </c>
      <c r="AB123" s="1">
        <v>71.42</v>
      </c>
      <c r="AC123" s="1">
        <v>29.76</v>
      </c>
      <c r="AD123" t="s">
        <v>69</v>
      </c>
    </row>
    <row r="124" spans="1:30" x14ac:dyDescent="0.3">
      <c r="A124" s="2">
        <v>7547</v>
      </c>
      <c r="B124" s="3">
        <v>45783</v>
      </c>
      <c r="C124" s="2">
        <v>1019</v>
      </c>
      <c r="D124" s="2" t="s">
        <v>62</v>
      </c>
      <c r="E124" t="s">
        <v>62</v>
      </c>
      <c r="F124" t="s">
        <v>37</v>
      </c>
      <c r="G124" t="s">
        <v>55</v>
      </c>
      <c r="H124" t="s">
        <v>55</v>
      </c>
      <c r="I124" s="2">
        <v>2079</v>
      </c>
      <c r="J124" t="s">
        <v>71</v>
      </c>
      <c r="K124" t="s">
        <v>68</v>
      </c>
      <c r="L124" t="s">
        <v>61</v>
      </c>
      <c r="M124">
        <v>2024</v>
      </c>
      <c r="N124">
        <v>42</v>
      </c>
      <c r="O124" t="s">
        <v>56</v>
      </c>
      <c r="P124" s="2">
        <v>1</v>
      </c>
      <c r="Q124" s="1">
        <v>313.55</v>
      </c>
      <c r="R124" t="s">
        <v>32</v>
      </c>
      <c r="S124" s="1">
        <v>0</v>
      </c>
      <c r="T124" s="1">
        <v>313.55</v>
      </c>
      <c r="U124" s="1">
        <f t="shared" si="1"/>
        <v>313.55</v>
      </c>
      <c r="V124" s="1" t="s">
        <v>53</v>
      </c>
      <c r="W124" t="s">
        <v>53</v>
      </c>
      <c r="X124" t="s">
        <v>34</v>
      </c>
      <c r="Y124" t="s">
        <v>34</v>
      </c>
      <c r="Z124" s="2">
        <v>5</v>
      </c>
      <c r="AA124" s="2">
        <v>4</v>
      </c>
      <c r="AB124" s="1">
        <v>37.630000000000003</v>
      </c>
      <c r="AC124" s="1">
        <v>0</v>
      </c>
      <c r="AD124" t="s">
        <v>35</v>
      </c>
    </row>
    <row r="125" spans="1:30" x14ac:dyDescent="0.3">
      <c r="A125" s="2">
        <v>7548</v>
      </c>
      <c r="B125" s="3">
        <v>45576</v>
      </c>
      <c r="C125" s="2">
        <v>1099</v>
      </c>
      <c r="D125" s="2" t="s">
        <v>95</v>
      </c>
      <c r="E125" t="s">
        <v>95</v>
      </c>
      <c r="F125" t="s">
        <v>26</v>
      </c>
      <c r="G125" t="s">
        <v>109</v>
      </c>
      <c r="H125" t="s">
        <v>38</v>
      </c>
      <c r="I125" s="2">
        <v>2051</v>
      </c>
      <c r="J125" t="s">
        <v>86</v>
      </c>
      <c r="K125" t="s">
        <v>29</v>
      </c>
      <c r="L125" t="s">
        <v>41</v>
      </c>
      <c r="M125">
        <v>2024</v>
      </c>
      <c r="N125">
        <v>38</v>
      </c>
      <c r="O125" t="s">
        <v>75</v>
      </c>
      <c r="P125" s="2">
        <v>5</v>
      </c>
      <c r="Q125" s="1">
        <v>551.69000000000005</v>
      </c>
      <c r="R125" t="s">
        <v>42</v>
      </c>
      <c r="S125" s="1">
        <v>55.17</v>
      </c>
      <c r="T125" s="1">
        <v>4.9652E+16</v>
      </c>
      <c r="U125" s="1">
        <f t="shared" si="1"/>
        <v>496.52000000000004</v>
      </c>
      <c r="V125" s="1" t="s">
        <v>53</v>
      </c>
      <c r="W125" t="s">
        <v>53</v>
      </c>
      <c r="X125" t="s">
        <v>115</v>
      </c>
      <c r="Y125" t="s">
        <v>43</v>
      </c>
      <c r="Z125" s="2">
        <v>14</v>
      </c>
      <c r="AA125" s="2">
        <v>1</v>
      </c>
      <c r="AB125" s="1">
        <v>66.2</v>
      </c>
      <c r="AC125" s="1">
        <v>27.58</v>
      </c>
      <c r="AD125" t="s">
        <v>69</v>
      </c>
    </row>
    <row r="126" spans="1:30" x14ac:dyDescent="0.3">
      <c r="A126" s="2">
        <v>7549</v>
      </c>
      <c r="B126" s="3">
        <v>45724</v>
      </c>
      <c r="C126" s="2">
        <v>1058</v>
      </c>
      <c r="D126" s="2" t="s">
        <v>77</v>
      </c>
      <c r="E126" t="s">
        <v>77</v>
      </c>
      <c r="F126" t="s">
        <v>73</v>
      </c>
      <c r="G126" t="s">
        <v>27</v>
      </c>
      <c r="H126" t="s">
        <v>27</v>
      </c>
      <c r="I126" s="2">
        <v>2997</v>
      </c>
      <c r="J126" t="s">
        <v>80</v>
      </c>
      <c r="K126" t="s">
        <v>72</v>
      </c>
      <c r="L126" t="s">
        <v>30</v>
      </c>
      <c r="M126">
        <v>2022</v>
      </c>
      <c r="N126">
        <v>41</v>
      </c>
      <c r="O126" t="s">
        <v>56</v>
      </c>
      <c r="P126" s="2">
        <v>2</v>
      </c>
      <c r="Q126" s="1">
        <v>742.19</v>
      </c>
      <c r="R126" t="s">
        <v>32</v>
      </c>
      <c r="S126" s="1">
        <v>0</v>
      </c>
      <c r="T126" s="1">
        <v>742.19</v>
      </c>
      <c r="U126" s="1">
        <f t="shared" si="1"/>
        <v>742.19</v>
      </c>
      <c r="V126" s="1" t="s">
        <v>53</v>
      </c>
      <c r="W126" t="s">
        <v>53</v>
      </c>
      <c r="X126" t="s">
        <v>50</v>
      </c>
      <c r="Y126" t="s">
        <v>50</v>
      </c>
      <c r="Z126" s="2">
        <v>15</v>
      </c>
      <c r="AA126" s="2">
        <v>4</v>
      </c>
      <c r="AB126" s="1">
        <v>89.06</v>
      </c>
      <c r="AC126" s="1">
        <v>0</v>
      </c>
      <c r="AD126" t="s">
        <v>69</v>
      </c>
    </row>
    <row r="127" spans="1:30" x14ac:dyDescent="0.3">
      <c r="A127" s="2">
        <v>7550</v>
      </c>
      <c r="B127" s="3">
        <v>45700</v>
      </c>
      <c r="C127" s="2">
        <v>1009</v>
      </c>
      <c r="D127" s="2" t="s">
        <v>92</v>
      </c>
      <c r="E127" t="s">
        <v>92</v>
      </c>
      <c r="F127" t="s">
        <v>45</v>
      </c>
      <c r="G127" t="s">
        <v>27</v>
      </c>
      <c r="H127" t="s">
        <v>27</v>
      </c>
      <c r="I127" s="2">
        <v>2503</v>
      </c>
      <c r="J127" t="s">
        <v>63</v>
      </c>
      <c r="K127" t="s">
        <v>40</v>
      </c>
      <c r="L127" t="s">
        <v>41</v>
      </c>
      <c r="M127">
        <v>2023</v>
      </c>
      <c r="N127">
        <v>41</v>
      </c>
      <c r="O127" t="s">
        <v>56</v>
      </c>
      <c r="P127" s="2">
        <v>2</v>
      </c>
      <c r="Q127" s="1">
        <v>793.06</v>
      </c>
      <c r="R127" t="s">
        <v>32</v>
      </c>
      <c r="S127" s="1">
        <v>0</v>
      </c>
      <c r="T127" s="1">
        <v>793.06</v>
      </c>
      <c r="U127" s="1">
        <f t="shared" si="1"/>
        <v>793.06</v>
      </c>
      <c r="V127" s="1" t="s">
        <v>113</v>
      </c>
      <c r="W127" t="s">
        <v>57</v>
      </c>
      <c r="X127" t="s">
        <v>34</v>
      </c>
      <c r="Y127" t="s">
        <v>34</v>
      </c>
      <c r="Z127" s="2">
        <v>11</v>
      </c>
      <c r="AA127" s="2">
        <v>4</v>
      </c>
      <c r="AB127" s="1">
        <v>95.17</v>
      </c>
      <c r="AC127" s="1">
        <v>0</v>
      </c>
      <c r="AD127" t="s">
        <v>35</v>
      </c>
    </row>
    <row r="128" spans="1:30" x14ac:dyDescent="0.3">
      <c r="A128" s="2">
        <v>7551</v>
      </c>
      <c r="B128" s="3">
        <v>45766</v>
      </c>
      <c r="C128" s="2">
        <v>1040</v>
      </c>
      <c r="D128" s="2" t="s">
        <v>65</v>
      </c>
      <c r="E128" t="s">
        <v>65</v>
      </c>
      <c r="F128" t="s">
        <v>60</v>
      </c>
      <c r="G128" t="s">
        <v>109</v>
      </c>
      <c r="H128" t="s">
        <v>38</v>
      </c>
      <c r="I128" s="2">
        <v>2302</v>
      </c>
      <c r="J128" t="s">
        <v>71</v>
      </c>
      <c r="K128" t="s">
        <v>29</v>
      </c>
      <c r="L128" t="s">
        <v>61</v>
      </c>
      <c r="M128">
        <v>2024</v>
      </c>
      <c r="N128">
        <v>40</v>
      </c>
      <c r="O128" t="s">
        <v>56</v>
      </c>
      <c r="P128" s="2">
        <v>5</v>
      </c>
      <c r="Q128" s="1">
        <v>418.56</v>
      </c>
      <c r="R128" t="s">
        <v>42</v>
      </c>
      <c r="S128" s="1">
        <v>41.86</v>
      </c>
      <c r="T128" s="1">
        <v>376.7</v>
      </c>
      <c r="U128" s="1">
        <f t="shared" si="1"/>
        <v>376.7</v>
      </c>
      <c r="V128" s="1" t="s">
        <v>49</v>
      </c>
      <c r="W128" t="s">
        <v>49</v>
      </c>
      <c r="X128" t="s">
        <v>34</v>
      </c>
      <c r="Y128" t="s">
        <v>34</v>
      </c>
      <c r="Z128" s="2">
        <v>15</v>
      </c>
      <c r="AA128" s="2">
        <v>5</v>
      </c>
      <c r="AB128" s="1">
        <v>50.23</v>
      </c>
      <c r="AC128" s="1">
        <v>20.93</v>
      </c>
      <c r="AD128" t="s">
        <v>35</v>
      </c>
    </row>
    <row r="129" spans="1:30" x14ac:dyDescent="0.3">
      <c r="A129" s="2">
        <v>7552</v>
      </c>
      <c r="B129" s="3">
        <v>45726</v>
      </c>
      <c r="C129" s="2">
        <v>1041</v>
      </c>
      <c r="D129" s="2" t="s">
        <v>91</v>
      </c>
      <c r="E129" t="s">
        <v>91</v>
      </c>
      <c r="F129" t="s">
        <v>26</v>
      </c>
      <c r="G129" t="s">
        <v>55</v>
      </c>
      <c r="H129" t="s">
        <v>55</v>
      </c>
      <c r="I129" s="2">
        <v>2612</v>
      </c>
      <c r="J129" t="s">
        <v>71</v>
      </c>
      <c r="K129" t="s">
        <v>47</v>
      </c>
      <c r="L129" t="s">
        <v>61</v>
      </c>
      <c r="M129">
        <v>2024</v>
      </c>
      <c r="N129">
        <v>39</v>
      </c>
      <c r="O129" t="s">
        <v>31</v>
      </c>
      <c r="P129" s="2">
        <v>3</v>
      </c>
      <c r="Q129" s="1">
        <v>790.05</v>
      </c>
      <c r="R129" t="s">
        <v>32</v>
      </c>
      <c r="S129" s="1">
        <v>0</v>
      </c>
      <c r="T129" s="1">
        <v>790.05</v>
      </c>
      <c r="U129" s="1">
        <f t="shared" si="1"/>
        <v>790.05</v>
      </c>
      <c r="V129" s="1" t="s">
        <v>113</v>
      </c>
      <c r="W129" t="s">
        <v>57</v>
      </c>
      <c r="X129" t="s">
        <v>50</v>
      </c>
      <c r="Y129" t="s">
        <v>50</v>
      </c>
      <c r="Z129" s="2">
        <v>3</v>
      </c>
      <c r="AA129" s="2">
        <v>5</v>
      </c>
      <c r="AB129" s="1">
        <v>94.81</v>
      </c>
      <c r="AC129" s="1">
        <v>0</v>
      </c>
      <c r="AD129" t="s">
        <v>58</v>
      </c>
    </row>
    <row r="130" spans="1:30" x14ac:dyDescent="0.3">
      <c r="A130" s="2">
        <v>7553</v>
      </c>
      <c r="B130" s="3">
        <v>45486</v>
      </c>
      <c r="C130" s="2">
        <v>1082</v>
      </c>
      <c r="D130" s="2" t="s">
        <v>90</v>
      </c>
      <c r="E130" t="s">
        <v>90</v>
      </c>
      <c r="F130" t="s">
        <v>45</v>
      </c>
      <c r="G130" t="s">
        <v>109</v>
      </c>
      <c r="H130" t="s">
        <v>38</v>
      </c>
      <c r="I130" s="2">
        <v>2810</v>
      </c>
      <c r="J130" t="s">
        <v>46</v>
      </c>
      <c r="K130" t="s">
        <v>68</v>
      </c>
      <c r="L130" t="s">
        <v>61</v>
      </c>
      <c r="M130">
        <v>2024</v>
      </c>
      <c r="N130">
        <v>42</v>
      </c>
      <c r="O130" t="s">
        <v>31</v>
      </c>
      <c r="P130" s="2">
        <v>2</v>
      </c>
      <c r="Q130" s="1">
        <v>743.02</v>
      </c>
      <c r="R130" t="s">
        <v>42</v>
      </c>
      <c r="S130" s="1">
        <v>74.3</v>
      </c>
      <c r="T130" s="1">
        <v>668.72</v>
      </c>
      <c r="U130" s="1">
        <f t="shared" si="1"/>
        <v>668.72</v>
      </c>
      <c r="V130" s="1" t="s">
        <v>49</v>
      </c>
      <c r="W130" t="s">
        <v>49</v>
      </c>
      <c r="X130" t="s">
        <v>50</v>
      </c>
      <c r="Y130" t="s">
        <v>50</v>
      </c>
      <c r="Z130" s="2">
        <v>5</v>
      </c>
      <c r="AA130" s="2">
        <v>1</v>
      </c>
      <c r="AB130" s="1">
        <v>89.16</v>
      </c>
      <c r="AC130" s="1">
        <v>37.15</v>
      </c>
      <c r="AD130" t="s">
        <v>69</v>
      </c>
    </row>
    <row r="131" spans="1:30" x14ac:dyDescent="0.3">
      <c r="A131" s="2">
        <v>7554</v>
      </c>
      <c r="B131" s="3">
        <v>45744</v>
      </c>
      <c r="C131" s="2">
        <v>1043</v>
      </c>
      <c r="D131" s="2" t="s">
        <v>106</v>
      </c>
      <c r="E131" t="s">
        <v>97</v>
      </c>
      <c r="F131" t="s">
        <v>45</v>
      </c>
      <c r="G131" t="s">
        <v>109</v>
      </c>
      <c r="H131" t="s">
        <v>38</v>
      </c>
      <c r="I131" s="2">
        <v>2794</v>
      </c>
      <c r="J131" t="s">
        <v>71</v>
      </c>
      <c r="K131" t="s">
        <v>29</v>
      </c>
      <c r="L131" t="s">
        <v>30</v>
      </c>
      <c r="M131">
        <v>2024</v>
      </c>
      <c r="N131">
        <v>39</v>
      </c>
      <c r="O131" t="s">
        <v>75</v>
      </c>
      <c r="P131" s="2">
        <v>1</v>
      </c>
      <c r="Q131" s="1">
        <v>403.51</v>
      </c>
      <c r="R131" t="s">
        <v>42</v>
      </c>
      <c r="S131" s="1">
        <v>40.35</v>
      </c>
      <c r="T131" s="1">
        <v>3.6315999999999904E+16</v>
      </c>
      <c r="U131" s="1">
        <f t="shared" si="1"/>
        <v>363.15999999999997</v>
      </c>
      <c r="V131" s="1" t="s">
        <v>112</v>
      </c>
      <c r="W131" t="s">
        <v>33</v>
      </c>
      <c r="X131" t="s">
        <v>50</v>
      </c>
      <c r="Y131" t="s">
        <v>50</v>
      </c>
      <c r="Z131" s="2">
        <v>5</v>
      </c>
      <c r="AA131" s="2">
        <v>2</v>
      </c>
      <c r="AB131" s="1">
        <v>48.42</v>
      </c>
      <c r="AC131" s="1">
        <v>20.18</v>
      </c>
      <c r="AD131" t="s">
        <v>69</v>
      </c>
    </row>
    <row r="132" spans="1:30" x14ac:dyDescent="0.3">
      <c r="A132" s="2">
        <v>7555</v>
      </c>
      <c r="B132" s="3">
        <v>45692</v>
      </c>
      <c r="C132" s="2">
        <v>1075</v>
      </c>
      <c r="D132" s="2" t="s">
        <v>84</v>
      </c>
      <c r="E132" t="s">
        <v>84</v>
      </c>
      <c r="F132" t="s">
        <v>73</v>
      </c>
      <c r="G132" t="s">
        <v>55</v>
      </c>
      <c r="H132" t="s">
        <v>55</v>
      </c>
      <c r="I132" s="2">
        <v>2697</v>
      </c>
      <c r="J132" t="s">
        <v>86</v>
      </c>
      <c r="K132" t="s">
        <v>78</v>
      </c>
      <c r="L132" t="s">
        <v>61</v>
      </c>
      <c r="M132">
        <v>2023</v>
      </c>
      <c r="N132">
        <v>39</v>
      </c>
      <c r="O132" t="s">
        <v>56</v>
      </c>
      <c r="P132" s="2">
        <v>4</v>
      </c>
      <c r="Q132" s="1">
        <v>340.31</v>
      </c>
      <c r="R132" t="s">
        <v>42</v>
      </c>
      <c r="S132" s="1">
        <v>34.03</v>
      </c>
      <c r="T132" s="1">
        <v>306.27999999999997</v>
      </c>
      <c r="U132" s="1">
        <f t="shared" ref="U132:U195" si="2">Q132-S132</f>
        <v>306.27999999999997</v>
      </c>
      <c r="V132" s="1" t="s">
        <v>53</v>
      </c>
      <c r="W132" t="s">
        <v>53</v>
      </c>
      <c r="X132" t="s">
        <v>115</v>
      </c>
      <c r="Y132" t="s">
        <v>43</v>
      </c>
      <c r="Z132" s="2">
        <v>9</v>
      </c>
      <c r="AA132" s="2">
        <v>2</v>
      </c>
      <c r="AB132" s="1">
        <v>40.840000000000003</v>
      </c>
      <c r="AC132" s="1">
        <v>17.02</v>
      </c>
      <c r="AD132" t="s">
        <v>58</v>
      </c>
    </row>
    <row r="133" spans="1:30" x14ac:dyDescent="0.3">
      <c r="A133" s="2">
        <v>7556</v>
      </c>
      <c r="B133" s="3">
        <v>45444</v>
      </c>
      <c r="C133" s="2">
        <v>1032</v>
      </c>
      <c r="D133" s="2" t="s">
        <v>83</v>
      </c>
      <c r="E133" t="s">
        <v>83</v>
      </c>
      <c r="F133" t="s">
        <v>26</v>
      </c>
      <c r="G133" t="s">
        <v>27</v>
      </c>
      <c r="H133" t="s">
        <v>27</v>
      </c>
      <c r="I133" s="2">
        <v>2915</v>
      </c>
      <c r="J133" t="s">
        <v>63</v>
      </c>
      <c r="K133" t="s">
        <v>40</v>
      </c>
      <c r="L133" t="s">
        <v>61</v>
      </c>
      <c r="M133">
        <v>2022</v>
      </c>
      <c r="N133">
        <v>37</v>
      </c>
      <c r="O133" t="s">
        <v>75</v>
      </c>
      <c r="P133" s="2">
        <v>5</v>
      </c>
      <c r="Q133" s="1">
        <v>710.49</v>
      </c>
      <c r="R133" t="s">
        <v>32</v>
      </c>
      <c r="S133" s="1">
        <v>0</v>
      </c>
      <c r="T133" s="1">
        <v>710.49</v>
      </c>
      <c r="U133" s="1">
        <f t="shared" si="2"/>
        <v>710.49</v>
      </c>
      <c r="V133" s="1" t="s">
        <v>112</v>
      </c>
      <c r="W133" t="s">
        <v>33</v>
      </c>
      <c r="X133" t="s">
        <v>50</v>
      </c>
      <c r="Y133" t="s">
        <v>50</v>
      </c>
      <c r="Z133" s="2">
        <v>15</v>
      </c>
      <c r="AA133" s="2">
        <v>2</v>
      </c>
      <c r="AB133" s="1">
        <v>85.26</v>
      </c>
      <c r="AC133" s="1">
        <v>0</v>
      </c>
      <c r="AD133" t="s">
        <v>58</v>
      </c>
    </row>
    <row r="134" spans="1:30" x14ac:dyDescent="0.3">
      <c r="A134" s="2">
        <v>7557</v>
      </c>
      <c r="B134" s="3">
        <v>45512</v>
      </c>
      <c r="C134" s="2">
        <v>1048</v>
      </c>
      <c r="D134" s="2" t="s">
        <v>59</v>
      </c>
      <c r="E134" t="s">
        <v>59</v>
      </c>
      <c r="F134" t="s">
        <v>60</v>
      </c>
      <c r="G134" t="s">
        <v>109</v>
      </c>
      <c r="H134" t="s">
        <v>38</v>
      </c>
      <c r="I134" s="2">
        <v>2116</v>
      </c>
      <c r="J134" t="s">
        <v>39</v>
      </c>
      <c r="K134" t="s">
        <v>78</v>
      </c>
      <c r="L134" t="s">
        <v>30</v>
      </c>
      <c r="M134">
        <v>2024</v>
      </c>
      <c r="N134">
        <v>39</v>
      </c>
      <c r="O134" t="s">
        <v>31</v>
      </c>
      <c r="P134" s="2">
        <v>2</v>
      </c>
      <c r="Q134" s="1">
        <v>792.24</v>
      </c>
      <c r="R134" t="s">
        <v>32</v>
      </c>
      <c r="S134" s="1">
        <v>0</v>
      </c>
      <c r="T134" s="1">
        <v>792.24</v>
      </c>
      <c r="U134" s="1">
        <f t="shared" si="2"/>
        <v>792.24</v>
      </c>
      <c r="V134" s="1" t="s">
        <v>53</v>
      </c>
      <c r="W134" t="s">
        <v>53</v>
      </c>
      <c r="X134" t="s">
        <v>34</v>
      </c>
      <c r="Y134" t="s">
        <v>34</v>
      </c>
      <c r="Z134" s="2">
        <v>12</v>
      </c>
      <c r="AA134" s="2">
        <v>2</v>
      </c>
      <c r="AB134" s="1">
        <v>95.07</v>
      </c>
      <c r="AC134" s="1">
        <v>0</v>
      </c>
      <c r="AD134" t="s">
        <v>35</v>
      </c>
    </row>
    <row r="135" spans="1:30" x14ac:dyDescent="0.3">
      <c r="A135" s="2">
        <v>7558</v>
      </c>
      <c r="B135" s="3">
        <v>45684</v>
      </c>
      <c r="C135" s="2">
        <v>1016</v>
      </c>
      <c r="D135" s="2" t="s">
        <v>100</v>
      </c>
      <c r="E135" t="s">
        <v>25</v>
      </c>
      <c r="F135" t="s">
        <v>45</v>
      </c>
      <c r="G135" t="s">
        <v>27</v>
      </c>
      <c r="H135" t="s">
        <v>27</v>
      </c>
      <c r="I135" s="2">
        <v>2587</v>
      </c>
      <c r="J135" t="s">
        <v>86</v>
      </c>
      <c r="K135" t="s">
        <v>68</v>
      </c>
      <c r="L135" t="s">
        <v>61</v>
      </c>
      <c r="M135">
        <v>2022</v>
      </c>
      <c r="N135">
        <v>42</v>
      </c>
      <c r="O135" t="s">
        <v>75</v>
      </c>
      <c r="P135" s="2">
        <v>2</v>
      </c>
      <c r="Q135" s="1">
        <v>303.52</v>
      </c>
      <c r="R135" t="s">
        <v>42</v>
      </c>
      <c r="S135" s="1">
        <v>30.35</v>
      </c>
      <c r="T135" s="1">
        <v>2.73169999999999E+16</v>
      </c>
      <c r="U135" s="1">
        <f t="shared" si="2"/>
        <v>273.16999999999996</v>
      </c>
      <c r="V135" s="1" t="s">
        <v>53</v>
      </c>
      <c r="W135" t="s">
        <v>53</v>
      </c>
      <c r="X135" t="s">
        <v>50</v>
      </c>
      <c r="Y135" t="s">
        <v>50</v>
      </c>
      <c r="Z135" s="2">
        <v>12</v>
      </c>
      <c r="AA135" s="2">
        <v>1</v>
      </c>
      <c r="AB135" s="1">
        <v>36.42</v>
      </c>
      <c r="AC135" s="1">
        <v>15.18</v>
      </c>
      <c r="AD135" t="s">
        <v>35</v>
      </c>
    </row>
    <row r="136" spans="1:30" x14ac:dyDescent="0.3">
      <c r="A136" s="2">
        <v>7559</v>
      </c>
      <c r="B136" s="3">
        <v>45691</v>
      </c>
      <c r="C136" s="2">
        <v>1039</v>
      </c>
      <c r="D136" s="2" t="s">
        <v>95</v>
      </c>
      <c r="E136" t="s">
        <v>95</v>
      </c>
      <c r="F136" t="s">
        <v>60</v>
      </c>
      <c r="G136" t="s">
        <v>109</v>
      </c>
      <c r="H136" t="s">
        <v>38</v>
      </c>
      <c r="I136" s="2">
        <v>2696</v>
      </c>
      <c r="J136" t="s">
        <v>80</v>
      </c>
      <c r="K136" t="s">
        <v>52</v>
      </c>
      <c r="L136" t="s">
        <v>41</v>
      </c>
      <c r="M136">
        <v>2024</v>
      </c>
      <c r="N136">
        <v>41</v>
      </c>
      <c r="O136" t="s">
        <v>66</v>
      </c>
      <c r="P136" s="2">
        <v>1</v>
      </c>
      <c r="Q136" s="1">
        <v>454.26</v>
      </c>
      <c r="R136" t="s">
        <v>42</v>
      </c>
      <c r="S136" s="1">
        <v>45.43</v>
      </c>
      <c r="T136" s="1">
        <v>408.83</v>
      </c>
      <c r="U136" s="1">
        <f t="shared" si="2"/>
        <v>408.83</v>
      </c>
      <c r="V136" s="1" t="s">
        <v>49</v>
      </c>
      <c r="W136" t="s">
        <v>49</v>
      </c>
      <c r="X136" t="s">
        <v>50</v>
      </c>
      <c r="Y136" t="s">
        <v>50</v>
      </c>
      <c r="Z136" s="2">
        <v>12</v>
      </c>
      <c r="AA136" s="2">
        <v>5</v>
      </c>
      <c r="AB136" s="1">
        <v>54.51</v>
      </c>
      <c r="AC136" s="1">
        <v>22.71</v>
      </c>
      <c r="AD136" t="s">
        <v>69</v>
      </c>
    </row>
    <row r="137" spans="1:30" x14ac:dyDescent="0.3">
      <c r="A137" s="2">
        <v>7560</v>
      </c>
      <c r="B137" s="3">
        <v>45625</v>
      </c>
      <c r="C137" s="2">
        <v>1071</v>
      </c>
      <c r="D137" s="2" t="s">
        <v>59</v>
      </c>
      <c r="E137" t="s">
        <v>59</v>
      </c>
      <c r="F137" t="s">
        <v>26</v>
      </c>
      <c r="G137" t="s">
        <v>109</v>
      </c>
      <c r="H137" t="s">
        <v>38</v>
      </c>
      <c r="I137" s="2">
        <v>2904</v>
      </c>
      <c r="J137" t="s">
        <v>28</v>
      </c>
      <c r="K137" t="s">
        <v>29</v>
      </c>
      <c r="L137" t="s">
        <v>61</v>
      </c>
      <c r="M137">
        <v>2024</v>
      </c>
      <c r="N137">
        <v>41</v>
      </c>
      <c r="O137" t="s">
        <v>56</v>
      </c>
      <c r="P137" s="2">
        <v>4</v>
      </c>
      <c r="Q137" s="1">
        <v>388.97</v>
      </c>
      <c r="R137" t="s">
        <v>42</v>
      </c>
      <c r="S137" s="1">
        <v>38.9</v>
      </c>
      <c r="T137" s="1">
        <v>3.5007E+16</v>
      </c>
      <c r="U137" s="1">
        <f t="shared" si="2"/>
        <v>350.07000000000005</v>
      </c>
      <c r="V137" s="1" t="s">
        <v>49</v>
      </c>
      <c r="W137" t="s">
        <v>49</v>
      </c>
      <c r="X137" t="s">
        <v>50</v>
      </c>
      <c r="Y137" t="s">
        <v>50</v>
      </c>
      <c r="Z137" s="2">
        <v>11</v>
      </c>
      <c r="AA137" s="2">
        <v>4</v>
      </c>
      <c r="AB137" s="1">
        <v>46.68</v>
      </c>
      <c r="AC137" s="1">
        <v>19.45</v>
      </c>
      <c r="AD137" t="s">
        <v>35</v>
      </c>
    </row>
    <row r="138" spans="1:30" x14ac:dyDescent="0.3">
      <c r="A138" s="2">
        <v>7561</v>
      </c>
      <c r="B138" s="3">
        <v>45744</v>
      </c>
      <c r="C138" s="2">
        <v>1016</v>
      </c>
      <c r="D138" s="2" t="s">
        <v>62</v>
      </c>
      <c r="E138" t="s">
        <v>62</v>
      </c>
      <c r="F138" t="s">
        <v>60</v>
      </c>
      <c r="G138" t="s">
        <v>55</v>
      </c>
      <c r="H138" t="s">
        <v>55</v>
      </c>
      <c r="I138" s="2">
        <v>2052</v>
      </c>
      <c r="J138" t="s">
        <v>80</v>
      </c>
      <c r="K138" t="s">
        <v>68</v>
      </c>
      <c r="L138" t="s">
        <v>30</v>
      </c>
      <c r="M138">
        <v>2022</v>
      </c>
      <c r="N138">
        <v>37</v>
      </c>
      <c r="O138" t="s">
        <v>31</v>
      </c>
      <c r="P138" s="2">
        <v>3</v>
      </c>
      <c r="Q138" s="1">
        <v>530.94000000000005</v>
      </c>
      <c r="R138" t="s">
        <v>32</v>
      </c>
      <c r="S138" s="1">
        <v>0</v>
      </c>
      <c r="T138" s="1">
        <v>530.94000000000005</v>
      </c>
      <c r="U138" s="1">
        <f t="shared" si="2"/>
        <v>530.94000000000005</v>
      </c>
      <c r="V138" s="1" t="s">
        <v>53</v>
      </c>
      <c r="W138" t="s">
        <v>53</v>
      </c>
      <c r="X138" t="s">
        <v>50</v>
      </c>
      <c r="Y138" t="s">
        <v>50</v>
      </c>
      <c r="Z138" s="2">
        <v>13</v>
      </c>
      <c r="AA138" s="2">
        <v>4</v>
      </c>
      <c r="AB138" s="1">
        <v>63.71</v>
      </c>
      <c r="AC138" s="1">
        <v>0</v>
      </c>
      <c r="AD138" t="s">
        <v>35</v>
      </c>
    </row>
    <row r="139" spans="1:30" x14ac:dyDescent="0.3">
      <c r="A139" s="2">
        <v>7562</v>
      </c>
      <c r="B139" s="3">
        <v>45649</v>
      </c>
      <c r="C139" s="2">
        <v>1074</v>
      </c>
      <c r="D139" s="2" t="s">
        <v>103</v>
      </c>
      <c r="E139" t="s">
        <v>74</v>
      </c>
      <c r="F139" t="s">
        <v>45</v>
      </c>
      <c r="G139" t="s">
        <v>55</v>
      </c>
      <c r="H139" t="s">
        <v>55</v>
      </c>
      <c r="I139" s="2">
        <v>2846</v>
      </c>
      <c r="J139" t="s">
        <v>80</v>
      </c>
      <c r="K139" t="s">
        <v>40</v>
      </c>
      <c r="L139" t="s">
        <v>30</v>
      </c>
      <c r="M139">
        <v>2022</v>
      </c>
      <c r="N139">
        <v>39</v>
      </c>
      <c r="O139" t="s">
        <v>48</v>
      </c>
      <c r="P139" s="2">
        <v>5</v>
      </c>
      <c r="Q139" s="1">
        <v>341.17</v>
      </c>
      <c r="R139" t="s">
        <v>32</v>
      </c>
      <c r="S139" s="1">
        <v>0</v>
      </c>
      <c r="T139" s="1">
        <v>341.17</v>
      </c>
      <c r="U139" s="1">
        <f t="shared" si="2"/>
        <v>341.17</v>
      </c>
      <c r="V139" s="1" t="s">
        <v>113</v>
      </c>
      <c r="W139" t="s">
        <v>57</v>
      </c>
      <c r="X139" t="s">
        <v>115</v>
      </c>
      <c r="Y139" t="s">
        <v>43</v>
      </c>
      <c r="Z139" s="2">
        <v>3</v>
      </c>
      <c r="AA139" s="2">
        <v>4</v>
      </c>
      <c r="AB139" s="1">
        <v>40.94</v>
      </c>
      <c r="AC139" s="1">
        <v>0</v>
      </c>
      <c r="AD139" t="s">
        <v>35</v>
      </c>
    </row>
    <row r="140" spans="1:30" x14ac:dyDescent="0.3">
      <c r="A140" s="2">
        <v>7563</v>
      </c>
      <c r="B140" s="3">
        <v>45690</v>
      </c>
      <c r="C140" s="2">
        <v>1006</v>
      </c>
      <c r="D140" s="2" t="s">
        <v>36</v>
      </c>
      <c r="E140" t="s">
        <v>36</v>
      </c>
      <c r="F140" t="s">
        <v>73</v>
      </c>
      <c r="G140" t="s">
        <v>109</v>
      </c>
      <c r="H140" t="s">
        <v>38</v>
      </c>
      <c r="I140" s="2">
        <v>2935</v>
      </c>
      <c r="J140" t="s">
        <v>71</v>
      </c>
      <c r="K140" t="s">
        <v>78</v>
      </c>
      <c r="L140" t="s">
        <v>61</v>
      </c>
      <c r="M140">
        <v>2024</v>
      </c>
      <c r="N140">
        <v>41</v>
      </c>
      <c r="O140" t="s">
        <v>48</v>
      </c>
      <c r="P140" s="2">
        <v>5</v>
      </c>
      <c r="Q140" s="1">
        <v>417.47</v>
      </c>
      <c r="R140" t="s">
        <v>32</v>
      </c>
      <c r="S140" s="1">
        <v>0</v>
      </c>
      <c r="T140" s="1">
        <v>417.47</v>
      </c>
      <c r="U140" s="1">
        <f t="shared" si="2"/>
        <v>417.47</v>
      </c>
      <c r="V140" s="1" t="s">
        <v>112</v>
      </c>
      <c r="W140" t="s">
        <v>33</v>
      </c>
      <c r="X140" t="s">
        <v>50</v>
      </c>
      <c r="Y140" t="s">
        <v>50</v>
      </c>
      <c r="Z140" s="2">
        <v>10</v>
      </c>
      <c r="AA140" s="2">
        <v>1</v>
      </c>
      <c r="AB140" s="1">
        <v>50.1</v>
      </c>
      <c r="AC140" s="1">
        <v>0</v>
      </c>
      <c r="AD140" t="s">
        <v>35</v>
      </c>
    </row>
    <row r="141" spans="1:30" x14ac:dyDescent="0.3">
      <c r="A141" s="2">
        <v>7564</v>
      </c>
      <c r="B141" s="3">
        <v>45483</v>
      </c>
      <c r="C141" s="2">
        <v>1085</v>
      </c>
      <c r="D141" s="2" t="s">
        <v>82</v>
      </c>
      <c r="E141" t="s">
        <v>82</v>
      </c>
      <c r="F141" t="s">
        <v>45</v>
      </c>
      <c r="G141" t="s">
        <v>109</v>
      </c>
      <c r="H141" t="s">
        <v>38</v>
      </c>
      <c r="I141" s="2">
        <v>2420</v>
      </c>
      <c r="J141" t="s">
        <v>51</v>
      </c>
      <c r="K141" t="s">
        <v>29</v>
      </c>
      <c r="L141" t="s">
        <v>61</v>
      </c>
      <c r="M141">
        <v>2023</v>
      </c>
      <c r="N141">
        <v>40</v>
      </c>
      <c r="O141" t="s">
        <v>48</v>
      </c>
      <c r="P141" s="2">
        <v>3</v>
      </c>
      <c r="Q141" s="1">
        <v>473.2</v>
      </c>
      <c r="R141" t="s">
        <v>32</v>
      </c>
      <c r="S141" s="1">
        <v>0</v>
      </c>
      <c r="T141" s="1">
        <v>473.2</v>
      </c>
      <c r="U141" s="1">
        <f t="shared" si="2"/>
        <v>473.2</v>
      </c>
      <c r="V141" s="1" t="s">
        <v>53</v>
      </c>
      <c r="W141" t="s">
        <v>53</v>
      </c>
      <c r="X141" t="s">
        <v>50</v>
      </c>
      <c r="Y141" t="s">
        <v>50</v>
      </c>
      <c r="Z141" s="2">
        <v>15</v>
      </c>
      <c r="AA141" s="2">
        <v>3</v>
      </c>
      <c r="AB141" s="1">
        <v>56.78</v>
      </c>
      <c r="AC141" s="1">
        <v>0</v>
      </c>
      <c r="AD141" t="s">
        <v>69</v>
      </c>
    </row>
    <row r="142" spans="1:30" x14ac:dyDescent="0.3">
      <c r="A142" s="2">
        <v>7565</v>
      </c>
      <c r="B142" s="3">
        <v>45601</v>
      </c>
      <c r="C142" s="2">
        <v>1050</v>
      </c>
      <c r="D142" s="2" t="s">
        <v>106</v>
      </c>
      <c r="E142" t="s">
        <v>97</v>
      </c>
      <c r="F142" t="s">
        <v>37</v>
      </c>
      <c r="G142" t="s">
        <v>27</v>
      </c>
      <c r="H142" t="s">
        <v>27</v>
      </c>
      <c r="I142" s="2">
        <v>2913</v>
      </c>
      <c r="J142" t="s">
        <v>63</v>
      </c>
      <c r="K142" t="s">
        <v>47</v>
      </c>
      <c r="L142" t="s">
        <v>30</v>
      </c>
      <c r="M142">
        <v>2023</v>
      </c>
      <c r="N142">
        <v>38</v>
      </c>
      <c r="O142" t="s">
        <v>48</v>
      </c>
      <c r="P142" s="2">
        <v>4</v>
      </c>
      <c r="Q142" s="1">
        <v>326.14</v>
      </c>
      <c r="R142" t="s">
        <v>42</v>
      </c>
      <c r="S142" s="1">
        <v>32.61</v>
      </c>
      <c r="T142" s="1">
        <v>293.52999999999997</v>
      </c>
      <c r="U142" s="1">
        <f t="shared" si="2"/>
        <v>293.52999999999997</v>
      </c>
      <c r="V142" s="1" t="s">
        <v>49</v>
      </c>
      <c r="W142" t="s">
        <v>49</v>
      </c>
      <c r="X142" t="s">
        <v>34</v>
      </c>
      <c r="Y142" t="s">
        <v>34</v>
      </c>
      <c r="Z142" s="2">
        <v>15</v>
      </c>
      <c r="AA142" s="2">
        <v>2</v>
      </c>
      <c r="AB142" s="1">
        <v>39.14</v>
      </c>
      <c r="AC142" s="1">
        <v>16.309999999999999</v>
      </c>
      <c r="AD142" t="s">
        <v>69</v>
      </c>
    </row>
    <row r="143" spans="1:30" x14ac:dyDescent="0.3">
      <c r="A143" s="2">
        <v>7566</v>
      </c>
      <c r="B143" s="3">
        <v>45537</v>
      </c>
      <c r="C143" s="2">
        <v>1067</v>
      </c>
      <c r="D143" s="2" t="s">
        <v>83</v>
      </c>
      <c r="E143" t="s">
        <v>83</v>
      </c>
      <c r="F143" t="s">
        <v>37</v>
      </c>
      <c r="G143" t="s">
        <v>55</v>
      </c>
      <c r="H143" t="s">
        <v>55</v>
      </c>
      <c r="I143" s="2">
        <v>2320</v>
      </c>
      <c r="J143" t="s">
        <v>51</v>
      </c>
      <c r="K143" t="s">
        <v>29</v>
      </c>
      <c r="L143" t="s">
        <v>41</v>
      </c>
      <c r="M143">
        <v>2024</v>
      </c>
      <c r="N143">
        <v>41</v>
      </c>
      <c r="O143" t="s">
        <v>66</v>
      </c>
      <c r="P143" s="2">
        <v>1</v>
      </c>
      <c r="Q143" s="1">
        <v>688.66</v>
      </c>
      <c r="R143" t="s">
        <v>42</v>
      </c>
      <c r="S143" s="1">
        <v>68.87</v>
      </c>
      <c r="T143" s="1">
        <v>619.79</v>
      </c>
      <c r="U143" s="1">
        <f t="shared" si="2"/>
        <v>619.79</v>
      </c>
      <c r="V143" s="1" t="s">
        <v>113</v>
      </c>
      <c r="W143" t="s">
        <v>57</v>
      </c>
      <c r="X143" t="s">
        <v>115</v>
      </c>
      <c r="Y143" t="s">
        <v>43</v>
      </c>
      <c r="Z143" s="2">
        <v>11</v>
      </c>
      <c r="AA143" s="2">
        <v>1</v>
      </c>
      <c r="AB143" s="1">
        <v>82.64</v>
      </c>
      <c r="AC143" s="1">
        <v>34.43</v>
      </c>
      <c r="AD143" t="s">
        <v>58</v>
      </c>
    </row>
    <row r="144" spans="1:30" x14ac:dyDescent="0.3">
      <c r="A144" s="2">
        <v>7567</v>
      </c>
      <c r="B144" s="3">
        <v>45614</v>
      </c>
      <c r="C144" s="2">
        <v>1055</v>
      </c>
      <c r="D144" s="2" t="s">
        <v>67</v>
      </c>
      <c r="E144" t="s">
        <v>67</v>
      </c>
      <c r="F144" t="s">
        <v>45</v>
      </c>
      <c r="G144" t="s">
        <v>27</v>
      </c>
      <c r="H144" t="s">
        <v>27</v>
      </c>
      <c r="I144" s="2">
        <v>2026</v>
      </c>
      <c r="J144" t="s">
        <v>46</v>
      </c>
      <c r="K144" t="s">
        <v>29</v>
      </c>
      <c r="L144" t="s">
        <v>41</v>
      </c>
      <c r="M144">
        <v>2023</v>
      </c>
      <c r="N144">
        <v>42</v>
      </c>
      <c r="O144" t="s">
        <v>31</v>
      </c>
      <c r="P144" s="2">
        <v>5</v>
      </c>
      <c r="Q144" s="1">
        <v>318.25</v>
      </c>
      <c r="R144" t="s">
        <v>32</v>
      </c>
      <c r="S144" s="1">
        <v>0</v>
      </c>
      <c r="T144" s="1">
        <v>318.25</v>
      </c>
      <c r="U144" s="1">
        <f t="shared" si="2"/>
        <v>318.25</v>
      </c>
      <c r="V144" s="1" t="s">
        <v>112</v>
      </c>
      <c r="W144" t="s">
        <v>33</v>
      </c>
      <c r="X144" t="s">
        <v>50</v>
      </c>
      <c r="Y144" t="s">
        <v>50</v>
      </c>
      <c r="Z144" s="2">
        <v>2</v>
      </c>
      <c r="AA144" s="2">
        <v>2</v>
      </c>
      <c r="AB144" s="1">
        <v>38.19</v>
      </c>
      <c r="AC144" s="1">
        <v>0</v>
      </c>
      <c r="AD144" t="s">
        <v>69</v>
      </c>
    </row>
    <row r="145" spans="1:30" x14ac:dyDescent="0.3">
      <c r="A145" s="2">
        <v>7568</v>
      </c>
      <c r="B145" s="3">
        <v>45658</v>
      </c>
      <c r="C145" s="2">
        <v>1019</v>
      </c>
      <c r="D145" s="2" t="s">
        <v>102</v>
      </c>
      <c r="E145" t="s">
        <v>54</v>
      </c>
      <c r="F145" t="s">
        <v>45</v>
      </c>
      <c r="G145" t="s">
        <v>55</v>
      </c>
      <c r="H145" t="s">
        <v>55</v>
      </c>
      <c r="I145" s="2">
        <v>2961</v>
      </c>
      <c r="J145" t="s">
        <v>86</v>
      </c>
      <c r="K145" t="s">
        <v>72</v>
      </c>
      <c r="L145" t="s">
        <v>30</v>
      </c>
      <c r="M145">
        <v>2023</v>
      </c>
      <c r="N145">
        <v>41</v>
      </c>
      <c r="O145" t="s">
        <v>48</v>
      </c>
      <c r="P145" s="2">
        <v>2</v>
      </c>
      <c r="Q145" s="1">
        <v>572.35</v>
      </c>
      <c r="R145" t="s">
        <v>42</v>
      </c>
      <c r="S145" s="1">
        <v>57.24</v>
      </c>
      <c r="T145" s="1">
        <v>515.11</v>
      </c>
      <c r="U145" s="1">
        <f t="shared" si="2"/>
        <v>515.11</v>
      </c>
      <c r="V145" s="1" t="s">
        <v>113</v>
      </c>
      <c r="W145" t="s">
        <v>57</v>
      </c>
      <c r="X145" t="s">
        <v>50</v>
      </c>
      <c r="Y145" t="s">
        <v>50</v>
      </c>
      <c r="Z145" s="2">
        <v>2</v>
      </c>
      <c r="AA145" s="2">
        <v>4</v>
      </c>
      <c r="AB145" s="1">
        <v>68.680000000000007</v>
      </c>
      <c r="AC145" s="1">
        <v>28.62</v>
      </c>
      <c r="AD145" t="s">
        <v>35</v>
      </c>
    </row>
    <row r="146" spans="1:30" x14ac:dyDescent="0.3">
      <c r="A146" s="2">
        <v>7569</v>
      </c>
      <c r="B146" s="3">
        <v>45680</v>
      </c>
      <c r="C146" s="2">
        <v>1041</v>
      </c>
      <c r="D146" s="2" t="s">
        <v>94</v>
      </c>
      <c r="E146" t="s">
        <v>94</v>
      </c>
      <c r="F146" t="s">
        <v>73</v>
      </c>
      <c r="G146" t="s">
        <v>109</v>
      </c>
      <c r="H146" t="s">
        <v>38</v>
      </c>
      <c r="I146" s="2">
        <v>2561</v>
      </c>
      <c r="J146" t="s">
        <v>80</v>
      </c>
      <c r="K146" t="s">
        <v>40</v>
      </c>
      <c r="L146" t="s">
        <v>30</v>
      </c>
      <c r="M146">
        <v>2022</v>
      </c>
      <c r="N146">
        <v>37</v>
      </c>
      <c r="O146" t="s">
        <v>75</v>
      </c>
      <c r="P146" s="2">
        <v>2</v>
      </c>
      <c r="Q146" s="1">
        <v>673.51</v>
      </c>
      <c r="R146" t="s">
        <v>32</v>
      </c>
      <c r="S146" s="1">
        <v>0</v>
      </c>
      <c r="T146" s="1">
        <v>673.51</v>
      </c>
      <c r="U146" s="1">
        <f t="shared" si="2"/>
        <v>673.51</v>
      </c>
      <c r="V146" s="1" t="s">
        <v>113</v>
      </c>
      <c r="W146" t="s">
        <v>57</v>
      </c>
      <c r="X146" t="s">
        <v>34</v>
      </c>
      <c r="Y146" t="s">
        <v>34</v>
      </c>
      <c r="Z146" s="2">
        <v>8</v>
      </c>
      <c r="AA146" s="2">
        <v>5</v>
      </c>
      <c r="AB146" s="1">
        <v>80.819999999999993</v>
      </c>
      <c r="AC146" s="1">
        <v>0</v>
      </c>
      <c r="AD146" t="s">
        <v>35</v>
      </c>
    </row>
    <row r="147" spans="1:30" x14ac:dyDescent="0.3">
      <c r="A147" s="2">
        <v>7570</v>
      </c>
      <c r="B147" s="3">
        <v>45587</v>
      </c>
      <c r="C147" s="2">
        <v>1050</v>
      </c>
      <c r="D147" s="2" t="s">
        <v>77</v>
      </c>
      <c r="E147" t="s">
        <v>77</v>
      </c>
      <c r="F147" t="s">
        <v>45</v>
      </c>
      <c r="G147" t="s">
        <v>109</v>
      </c>
      <c r="H147" t="s">
        <v>38</v>
      </c>
      <c r="I147" s="2">
        <v>2270</v>
      </c>
      <c r="J147" t="s">
        <v>39</v>
      </c>
      <c r="K147" t="s">
        <v>47</v>
      </c>
      <c r="L147" t="s">
        <v>41</v>
      </c>
      <c r="M147">
        <v>2022</v>
      </c>
      <c r="N147">
        <v>37</v>
      </c>
      <c r="O147" t="s">
        <v>31</v>
      </c>
      <c r="P147" s="2">
        <v>3</v>
      </c>
      <c r="Q147" s="1">
        <v>452.73</v>
      </c>
      <c r="R147" t="s">
        <v>32</v>
      </c>
      <c r="S147" s="1">
        <v>0</v>
      </c>
      <c r="T147" s="1">
        <v>452.73</v>
      </c>
      <c r="U147" s="1">
        <f t="shared" si="2"/>
        <v>452.73</v>
      </c>
      <c r="V147" s="1" t="s">
        <v>112</v>
      </c>
      <c r="W147" t="s">
        <v>33</v>
      </c>
      <c r="X147" t="s">
        <v>34</v>
      </c>
      <c r="Y147" t="s">
        <v>34</v>
      </c>
      <c r="Z147" s="2">
        <v>5</v>
      </c>
      <c r="AA147" s="2">
        <v>2</v>
      </c>
      <c r="AB147" s="1">
        <v>54.33</v>
      </c>
      <c r="AC147" s="1">
        <v>0</v>
      </c>
      <c r="AD147" t="s">
        <v>69</v>
      </c>
    </row>
    <row r="148" spans="1:30" x14ac:dyDescent="0.3">
      <c r="A148" s="2">
        <v>7571</v>
      </c>
      <c r="B148" s="3">
        <v>45590</v>
      </c>
      <c r="C148" s="2">
        <v>1098</v>
      </c>
      <c r="D148" s="2" t="s">
        <v>70</v>
      </c>
      <c r="E148" t="s">
        <v>70</v>
      </c>
      <c r="F148" t="s">
        <v>45</v>
      </c>
      <c r="G148" t="s">
        <v>109</v>
      </c>
      <c r="H148" t="s">
        <v>38</v>
      </c>
      <c r="I148" s="2">
        <v>2712</v>
      </c>
      <c r="J148" t="s">
        <v>71</v>
      </c>
      <c r="K148" t="s">
        <v>64</v>
      </c>
      <c r="L148" t="s">
        <v>61</v>
      </c>
      <c r="M148">
        <v>2022</v>
      </c>
      <c r="N148">
        <v>38</v>
      </c>
      <c r="O148" t="s">
        <v>75</v>
      </c>
      <c r="P148" s="2">
        <v>3</v>
      </c>
      <c r="Q148" s="1">
        <v>424.71</v>
      </c>
      <c r="R148" t="s">
        <v>42</v>
      </c>
      <c r="S148" s="1">
        <v>42.47</v>
      </c>
      <c r="T148" s="1">
        <v>382.24</v>
      </c>
      <c r="U148" s="1">
        <f t="shared" si="2"/>
        <v>382.24</v>
      </c>
      <c r="V148" s="1" t="s">
        <v>112</v>
      </c>
      <c r="W148" t="s">
        <v>33</v>
      </c>
      <c r="X148" t="s">
        <v>50</v>
      </c>
      <c r="Y148" t="s">
        <v>50</v>
      </c>
      <c r="Z148" s="2">
        <v>11</v>
      </c>
      <c r="AA148" s="2">
        <v>2</v>
      </c>
      <c r="AB148" s="1">
        <v>50.97</v>
      </c>
      <c r="AC148" s="1">
        <v>21.24</v>
      </c>
      <c r="AD148" t="s">
        <v>58</v>
      </c>
    </row>
    <row r="149" spans="1:30" x14ac:dyDescent="0.3">
      <c r="A149" s="2">
        <v>7572</v>
      </c>
      <c r="B149" s="3">
        <v>45640</v>
      </c>
      <c r="C149" s="2">
        <v>1047</v>
      </c>
      <c r="D149" s="2" t="s">
        <v>89</v>
      </c>
      <c r="E149" t="s">
        <v>89</v>
      </c>
      <c r="F149" t="s">
        <v>60</v>
      </c>
      <c r="G149" t="s">
        <v>109</v>
      </c>
      <c r="H149" t="s">
        <v>38</v>
      </c>
      <c r="I149" s="2">
        <v>2879</v>
      </c>
      <c r="J149" t="s">
        <v>46</v>
      </c>
      <c r="K149" t="s">
        <v>40</v>
      </c>
      <c r="L149" t="s">
        <v>30</v>
      </c>
      <c r="M149">
        <v>2024</v>
      </c>
      <c r="N149">
        <v>38</v>
      </c>
      <c r="O149" t="s">
        <v>66</v>
      </c>
      <c r="P149" s="2">
        <v>3</v>
      </c>
      <c r="Q149" s="1">
        <v>337.87</v>
      </c>
      <c r="R149" t="s">
        <v>32</v>
      </c>
      <c r="S149" s="1">
        <v>0</v>
      </c>
      <c r="T149" s="1">
        <v>337.87</v>
      </c>
      <c r="U149" s="1">
        <f t="shared" si="2"/>
        <v>337.87</v>
      </c>
      <c r="V149" s="1" t="s">
        <v>49</v>
      </c>
      <c r="W149" t="s">
        <v>49</v>
      </c>
      <c r="X149" t="s">
        <v>34</v>
      </c>
      <c r="Y149" t="s">
        <v>34</v>
      </c>
      <c r="Z149" s="2">
        <v>8</v>
      </c>
      <c r="AA149" s="2">
        <v>1</v>
      </c>
      <c r="AB149" s="1">
        <v>40.54</v>
      </c>
      <c r="AC149" s="1">
        <v>0</v>
      </c>
      <c r="AD149" t="s">
        <v>58</v>
      </c>
    </row>
    <row r="150" spans="1:30" x14ac:dyDescent="0.3">
      <c r="A150" s="2">
        <v>7573</v>
      </c>
      <c r="B150" s="3">
        <v>45639</v>
      </c>
      <c r="C150" s="2">
        <v>1038</v>
      </c>
      <c r="D150" s="2" t="s">
        <v>65</v>
      </c>
      <c r="E150" t="s">
        <v>65</v>
      </c>
      <c r="F150" t="s">
        <v>73</v>
      </c>
      <c r="G150" t="s">
        <v>109</v>
      </c>
      <c r="H150" t="s">
        <v>38</v>
      </c>
      <c r="I150" s="2">
        <v>2662</v>
      </c>
      <c r="J150" t="s">
        <v>46</v>
      </c>
      <c r="K150" t="s">
        <v>40</v>
      </c>
      <c r="L150" t="s">
        <v>61</v>
      </c>
      <c r="M150">
        <v>2023</v>
      </c>
      <c r="N150">
        <v>38</v>
      </c>
      <c r="O150" t="s">
        <v>66</v>
      </c>
      <c r="P150" s="2">
        <v>3</v>
      </c>
      <c r="Q150" s="1">
        <v>718.36</v>
      </c>
      <c r="R150" t="s">
        <v>42</v>
      </c>
      <c r="S150" s="1">
        <v>71.84</v>
      </c>
      <c r="T150" s="1">
        <v>646.52</v>
      </c>
      <c r="U150" s="1">
        <f t="shared" si="2"/>
        <v>646.52</v>
      </c>
      <c r="V150" s="1" t="s">
        <v>112</v>
      </c>
      <c r="W150" t="s">
        <v>33</v>
      </c>
      <c r="X150" t="s">
        <v>115</v>
      </c>
      <c r="Y150" t="s">
        <v>43</v>
      </c>
      <c r="Z150" s="2">
        <v>13</v>
      </c>
      <c r="AA150" s="2">
        <v>2</v>
      </c>
      <c r="AB150" s="1">
        <v>86.2</v>
      </c>
      <c r="AC150" s="1">
        <v>35.92</v>
      </c>
      <c r="AD150" t="s">
        <v>35</v>
      </c>
    </row>
    <row r="151" spans="1:30" x14ac:dyDescent="0.3">
      <c r="A151" s="2">
        <v>7574</v>
      </c>
      <c r="B151" s="3">
        <v>45516</v>
      </c>
      <c r="C151" s="2">
        <v>1038</v>
      </c>
      <c r="D151" s="2" t="s">
        <v>105</v>
      </c>
      <c r="E151" t="s">
        <v>81</v>
      </c>
      <c r="F151" t="s">
        <v>73</v>
      </c>
      <c r="G151" t="s">
        <v>109</v>
      </c>
      <c r="H151" t="s">
        <v>38</v>
      </c>
      <c r="I151" s="2">
        <v>2515</v>
      </c>
      <c r="J151" t="s">
        <v>51</v>
      </c>
      <c r="K151" t="s">
        <v>29</v>
      </c>
      <c r="L151" t="s">
        <v>61</v>
      </c>
      <c r="M151">
        <v>2022</v>
      </c>
      <c r="N151">
        <v>42</v>
      </c>
      <c r="O151" t="s">
        <v>75</v>
      </c>
      <c r="P151" s="2">
        <v>1</v>
      </c>
      <c r="Q151" s="1">
        <v>592.53</v>
      </c>
      <c r="R151" t="s">
        <v>42</v>
      </c>
      <c r="S151" s="1">
        <v>59.25</v>
      </c>
      <c r="T151" s="1">
        <v>533.28</v>
      </c>
      <c r="U151" s="1">
        <f t="shared" si="2"/>
        <v>533.28</v>
      </c>
      <c r="V151" s="1" t="s">
        <v>112</v>
      </c>
      <c r="W151" t="s">
        <v>33</v>
      </c>
      <c r="X151" t="s">
        <v>50</v>
      </c>
      <c r="Y151" t="s">
        <v>50</v>
      </c>
      <c r="Z151" s="2">
        <v>5</v>
      </c>
      <c r="AA151" s="2">
        <v>5</v>
      </c>
      <c r="AB151" s="1">
        <v>71.099999999999994</v>
      </c>
      <c r="AC151" s="1">
        <v>29.63</v>
      </c>
      <c r="AD151" t="s">
        <v>69</v>
      </c>
    </row>
    <row r="152" spans="1:30" x14ac:dyDescent="0.3">
      <c r="A152" s="2">
        <v>7575</v>
      </c>
      <c r="B152" s="3">
        <v>45577</v>
      </c>
      <c r="C152" s="2">
        <v>1075</v>
      </c>
      <c r="D152" s="2" t="s">
        <v>84</v>
      </c>
      <c r="E152" t="s">
        <v>84</v>
      </c>
      <c r="F152" t="s">
        <v>45</v>
      </c>
      <c r="G152" t="s">
        <v>27</v>
      </c>
      <c r="H152" t="s">
        <v>27</v>
      </c>
      <c r="I152" s="2">
        <v>2470</v>
      </c>
      <c r="J152" t="s">
        <v>28</v>
      </c>
      <c r="K152" t="s">
        <v>78</v>
      </c>
      <c r="L152" t="s">
        <v>30</v>
      </c>
      <c r="M152">
        <v>2023</v>
      </c>
      <c r="N152">
        <v>38</v>
      </c>
      <c r="O152" t="s">
        <v>48</v>
      </c>
      <c r="P152" s="2">
        <v>1</v>
      </c>
      <c r="Q152" s="1">
        <v>776.08</v>
      </c>
      <c r="R152" t="s">
        <v>32</v>
      </c>
      <c r="S152" s="1">
        <v>0</v>
      </c>
      <c r="T152" s="1">
        <v>776.08</v>
      </c>
      <c r="U152" s="1">
        <f t="shared" si="2"/>
        <v>776.08</v>
      </c>
      <c r="V152" s="1" t="s">
        <v>53</v>
      </c>
      <c r="W152" t="s">
        <v>53</v>
      </c>
      <c r="X152" t="s">
        <v>50</v>
      </c>
      <c r="Y152" t="s">
        <v>50</v>
      </c>
      <c r="Z152" s="2">
        <v>7</v>
      </c>
      <c r="AA152" s="2">
        <v>1</v>
      </c>
      <c r="AB152" s="1">
        <v>93.13</v>
      </c>
      <c r="AC152" s="1">
        <v>0</v>
      </c>
      <c r="AD152" t="s">
        <v>58</v>
      </c>
    </row>
    <row r="153" spans="1:30" x14ac:dyDescent="0.3">
      <c r="A153" s="2">
        <v>7576</v>
      </c>
      <c r="B153" s="3">
        <v>45554</v>
      </c>
      <c r="C153" s="2">
        <v>1028</v>
      </c>
      <c r="D153" s="2" t="s">
        <v>84</v>
      </c>
      <c r="E153" t="s">
        <v>84</v>
      </c>
      <c r="F153" t="s">
        <v>26</v>
      </c>
      <c r="G153" t="s">
        <v>55</v>
      </c>
      <c r="H153" t="s">
        <v>55</v>
      </c>
      <c r="I153" s="2">
        <v>2645</v>
      </c>
      <c r="J153" t="s">
        <v>46</v>
      </c>
      <c r="K153" t="s">
        <v>68</v>
      </c>
      <c r="L153" t="s">
        <v>30</v>
      </c>
      <c r="M153">
        <v>2023</v>
      </c>
      <c r="N153">
        <v>40</v>
      </c>
      <c r="O153" t="s">
        <v>48</v>
      </c>
      <c r="P153" s="2">
        <v>2</v>
      </c>
      <c r="Q153" s="1">
        <v>533.92999999999995</v>
      </c>
      <c r="R153" t="s">
        <v>42</v>
      </c>
      <c r="S153" s="1">
        <v>53.39</v>
      </c>
      <c r="T153" s="1">
        <v>4.8053999999999904E+16</v>
      </c>
      <c r="U153" s="1">
        <f t="shared" si="2"/>
        <v>480.53999999999996</v>
      </c>
      <c r="V153" s="1" t="s">
        <v>49</v>
      </c>
      <c r="W153" t="s">
        <v>49</v>
      </c>
      <c r="X153" t="s">
        <v>50</v>
      </c>
      <c r="Y153" t="s">
        <v>50</v>
      </c>
      <c r="Z153" s="2">
        <v>13</v>
      </c>
      <c r="AA153" s="2">
        <v>2</v>
      </c>
      <c r="AB153" s="1">
        <v>64.069999999999993</v>
      </c>
      <c r="AC153" s="1">
        <v>26.7</v>
      </c>
      <c r="AD153" t="s">
        <v>58</v>
      </c>
    </row>
    <row r="154" spans="1:30" x14ac:dyDescent="0.3">
      <c r="A154" s="2">
        <v>7577</v>
      </c>
      <c r="B154" s="3">
        <v>45695</v>
      </c>
      <c r="C154" s="2">
        <v>1068</v>
      </c>
      <c r="D154" s="2" t="s">
        <v>106</v>
      </c>
      <c r="E154" t="s">
        <v>97</v>
      </c>
      <c r="F154" t="s">
        <v>37</v>
      </c>
      <c r="G154" t="s">
        <v>27</v>
      </c>
      <c r="H154" t="s">
        <v>27</v>
      </c>
      <c r="I154" s="2">
        <v>2389</v>
      </c>
      <c r="J154" t="s">
        <v>46</v>
      </c>
      <c r="K154" t="s">
        <v>29</v>
      </c>
      <c r="L154" t="s">
        <v>61</v>
      </c>
      <c r="M154">
        <v>2024</v>
      </c>
      <c r="N154">
        <v>41</v>
      </c>
      <c r="O154" t="s">
        <v>66</v>
      </c>
      <c r="P154" s="2">
        <v>4</v>
      </c>
      <c r="Q154" s="1">
        <v>494.16</v>
      </c>
      <c r="R154" t="s">
        <v>32</v>
      </c>
      <c r="S154" s="1">
        <v>0</v>
      </c>
      <c r="T154" s="1">
        <v>494.16</v>
      </c>
      <c r="U154" s="1">
        <f t="shared" si="2"/>
        <v>494.16</v>
      </c>
      <c r="V154" s="1" t="s">
        <v>112</v>
      </c>
      <c r="W154" t="s">
        <v>33</v>
      </c>
      <c r="X154" t="s">
        <v>50</v>
      </c>
      <c r="Y154" t="s">
        <v>50</v>
      </c>
      <c r="Z154" s="2">
        <v>8</v>
      </c>
      <c r="AA154" s="2">
        <v>1</v>
      </c>
      <c r="AB154" s="1">
        <v>59.3</v>
      </c>
      <c r="AC154" s="1">
        <v>0</v>
      </c>
      <c r="AD154" t="s">
        <v>69</v>
      </c>
    </row>
    <row r="155" spans="1:30" x14ac:dyDescent="0.3">
      <c r="A155" s="2">
        <v>7578</v>
      </c>
      <c r="B155" s="3">
        <v>45700</v>
      </c>
      <c r="C155" s="2">
        <v>1035</v>
      </c>
      <c r="D155" s="2" t="s">
        <v>91</v>
      </c>
      <c r="E155" t="s">
        <v>91</v>
      </c>
      <c r="F155" t="s">
        <v>26</v>
      </c>
      <c r="G155" t="s">
        <v>109</v>
      </c>
      <c r="H155" t="s">
        <v>38</v>
      </c>
      <c r="I155" s="2">
        <v>3000</v>
      </c>
      <c r="J155" t="s">
        <v>86</v>
      </c>
      <c r="K155" t="s">
        <v>40</v>
      </c>
      <c r="L155" t="s">
        <v>30</v>
      </c>
      <c r="M155">
        <v>2023</v>
      </c>
      <c r="N155">
        <v>37</v>
      </c>
      <c r="O155" t="s">
        <v>31</v>
      </c>
      <c r="P155" s="2">
        <v>4</v>
      </c>
      <c r="Q155" s="1">
        <v>794.94</v>
      </c>
      <c r="R155" t="s">
        <v>42</v>
      </c>
      <c r="S155" s="1">
        <v>79.489999999999995</v>
      </c>
      <c r="T155" s="1">
        <v>715.45</v>
      </c>
      <c r="U155" s="1">
        <f t="shared" si="2"/>
        <v>715.45</v>
      </c>
      <c r="V155" s="1" t="s">
        <v>113</v>
      </c>
      <c r="W155" t="s">
        <v>57</v>
      </c>
      <c r="X155" t="s">
        <v>34</v>
      </c>
      <c r="Y155" t="s">
        <v>34</v>
      </c>
      <c r="Z155" s="2">
        <v>1</v>
      </c>
      <c r="AA155" s="2">
        <v>2</v>
      </c>
      <c r="AB155" s="1">
        <v>95.39</v>
      </c>
      <c r="AC155" s="1">
        <v>39.75</v>
      </c>
      <c r="AD155" t="s">
        <v>58</v>
      </c>
    </row>
    <row r="156" spans="1:30" x14ac:dyDescent="0.3">
      <c r="A156" s="2">
        <v>7579</v>
      </c>
      <c r="B156" s="3">
        <v>45795</v>
      </c>
      <c r="C156" s="2">
        <v>1088</v>
      </c>
      <c r="D156" s="2" t="s">
        <v>36</v>
      </c>
      <c r="E156" t="s">
        <v>36</v>
      </c>
      <c r="F156" t="s">
        <v>73</v>
      </c>
      <c r="G156" t="s">
        <v>109</v>
      </c>
      <c r="H156" t="s">
        <v>38</v>
      </c>
      <c r="I156" s="2">
        <v>2748</v>
      </c>
      <c r="J156" t="s">
        <v>80</v>
      </c>
      <c r="K156" t="s">
        <v>29</v>
      </c>
      <c r="L156" t="s">
        <v>61</v>
      </c>
      <c r="M156">
        <v>2022</v>
      </c>
      <c r="N156">
        <v>40</v>
      </c>
      <c r="O156" t="s">
        <v>31</v>
      </c>
      <c r="P156" s="2">
        <v>2</v>
      </c>
      <c r="Q156" s="1">
        <v>468.87</v>
      </c>
      <c r="R156" t="s">
        <v>32</v>
      </c>
      <c r="S156" s="1">
        <v>0</v>
      </c>
      <c r="T156" s="1">
        <v>468.87</v>
      </c>
      <c r="U156" s="1">
        <f t="shared" si="2"/>
        <v>468.87</v>
      </c>
      <c r="V156" s="1" t="s">
        <v>53</v>
      </c>
      <c r="W156" t="s">
        <v>53</v>
      </c>
      <c r="X156" t="s">
        <v>34</v>
      </c>
      <c r="Y156" t="s">
        <v>34</v>
      </c>
      <c r="Z156" s="2">
        <v>8</v>
      </c>
      <c r="AA156" s="2">
        <v>2</v>
      </c>
      <c r="AB156" s="1">
        <v>56.26</v>
      </c>
      <c r="AC156" s="1">
        <v>0</v>
      </c>
      <c r="AD156" t="s">
        <v>35</v>
      </c>
    </row>
    <row r="157" spans="1:30" x14ac:dyDescent="0.3">
      <c r="A157" s="2">
        <v>7580</v>
      </c>
      <c r="B157" s="3">
        <v>45653</v>
      </c>
      <c r="C157" s="2">
        <v>1018</v>
      </c>
      <c r="D157" s="2" t="s">
        <v>83</v>
      </c>
      <c r="E157" t="s">
        <v>83</v>
      </c>
      <c r="F157" t="s">
        <v>26</v>
      </c>
      <c r="G157" t="s">
        <v>109</v>
      </c>
      <c r="H157" t="s">
        <v>38</v>
      </c>
      <c r="I157" s="2">
        <v>2317</v>
      </c>
      <c r="J157" t="s">
        <v>80</v>
      </c>
      <c r="K157" t="s">
        <v>47</v>
      </c>
      <c r="L157" t="s">
        <v>41</v>
      </c>
      <c r="M157">
        <v>2022</v>
      </c>
      <c r="N157">
        <v>40</v>
      </c>
      <c r="O157" t="s">
        <v>75</v>
      </c>
      <c r="P157" s="2">
        <v>5</v>
      </c>
      <c r="Q157" s="1">
        <v>440.04</v>
      </c>
      <c r="R157" t="s">
        <v>42</v>
      </c>
      <c r="S157" s="1">
        <v>44</v>
      </c>
      <c r="T157" s="1">
        <v>396.04</v>
      </c>
      <c r="U157" s="1">
        <f t="shared" si="2"/>
        <v>396.04</v>
      </c>
      <c r="V157" s="1" t="s">
        <v>53</v>
      </c>
      <c r="W157" t="s">
        <v>53</v>
      </c>
      <c r="X157" t="s">
        <v>34</v>
      </c>
      <c r="Y157" t="s">
        <v>34</v>
      </c>
      <c r="Z157" s="2">
        <v>13</v>
      </c>
      <c r="AA157" s="2">
        <v>1</v>
      </c>
      <c r="AB157" s="1">
        <v>52.8</v>
      </c>
      <c r="AC157" s="1">
        <v>22</v>
      </c>
      <c r="AD157" t="s">
        <v>58</v>
      </c>
    </row>
    <row r="158" spans="1:30" x14ac:dyDescent="0.3">
      <c r="A158" s="2">
        <v>7581</v>
      </c>
      <c r="B158" s="3">
        <v>45752</v>
      </c>
      <c r="C158" s="2">
        <v>1011</v>
      </c>
      <c r="D158" s="2" t="s">
        <v>83</v>
      </c>
      <c r="E158" t="s">
        <v>83</v>
      </c>
      <c r="F158" t="s">
        <v>37</v>
      </c>
      <c r="G158" t="s">
        <v>55</v>
      </c>
      <c r="H158" t="s">
        <v>55</v>
      </c>
      <c r="I158" s="2">
        <v>2281</v>
      </c>
      <c r="J158" t="s">
        <v>63</v>
      </c>
      <c r="K158" t="s">
        <v>78</v>
      </c>
      <c r="L158" t="s">
        <v>30</v>
      </c>
      <c r="M158">
        <v>2024</v>
      </c>
      <c r="N158">
        <v>42</v>
      </c>
      <c r="O158" t="s">
        <v>56</v>
      </c>
      <c r="P158" s="2">
        <v>2</v>
      </c>
      <c r="Q158" s="1">
        <v>412.36</v>
      </c>
      <c r="R158" t="s">
        <v>42</v>
      </c>
      <c r="S158" s="1">
        <v>41.24</v>
      </c>
      <c r="T158" s="1">
        <v>371.12</v>
      </c>
      <c r="U158" s="1">
        <f t="shared" si="2"/>
        <v>371.12</v>
      </c>
      <c r="V158" s="1" t="s">
        <v>113</v>
      </c>
      <c r="W158" t="s">
        <v>57</v>
      </c>
      <c r="X158" t="s">
        <v>115</v>
      </c>
      <c r="Y158" t="s">
        <v>43</v>
      </c>
      <c r="Z158" s="2">
        <v>9</v>
      </c>
      <c r="AA158" s="2">
        <v>2</v>
      </c>
      <c r="AB158" s="1">
        <v>49.48</v>
      </c>
      <c r="AC158" s="1">
        <v>20.62</v>
      </c>
      <c r="AD158" t="s">
        <v>58</v>
      </c>
    </row>
    <row r="159" spans="1:30" x14ac:dyDescent="0.3">
      <c r="A159" s="2">
        <v>7582</v>
      </c>
      <c r="B159" s="3">
        <v>45587</v>
      </c>
      <c r="C159" s="2">
        <v>1046</v>
      </c>
      <c r="D159" s="2" t="s">
        <v>96</v>
      </c>
      <c r="E159" t="s">
        <v>96</v>
      </c>
      <c r="F159" t="s">
        <v>73</v>
      </c>
      <c r="G159" t="s">
        <v>109</v>
      </c>
      <c r="H159" t="s">
        <v>38</v>
      </c>
      <c r="I159" s="2">
        <v>2987</v>
      </c>
      <c r="J159" t="s">
        <v>86</v>
      </c>
      <c r="K159" t="s">
        <v>29</v>
      </c>
      <c r="L159" t="s">
        <v>30</v>
      </c>
      <c r="M159">
        <v>2022</v>
      </c>
      <c r="N159">
        <v>38</v>
      </c>
      <c r="O159" t="s">
        <v>75</v>
      </c>
      <c r="P159" s="2">
        <v>2</v>
      </c>
      <c r="Q159" s="1">
        <v>537.12</v>
      </c>
      <c r="R159" t="s">
        <v>42</v>
      </c>
      <c r="S159" s="1">
        <v>53.71</v>
      </c>
      <c r="T159" s="1">
        <v>483.41</v>
      </c>
      <c r="U159" s="1">
        <f t="shared" si="2"/>
        <v>483.41</v>
      </c>
      <c r="V159" s="1" t="s">
        <v>49</v>
      </c>
      <c r="W159" t="s">
        <v>49</v>
      </c>
      <c r="X159" t="s">
        <v>50</v>
      </c>
      <c r="Y159" t="s">
        <v>50</v>
      </c>
      <c r="Z159" s="2">
        <v>4</v>
      </c>
      <c r="AA159" s="2">
        <v>3</v>
      </c>
      <c r="AB159" s="1">
        <v>64.45</v>
      </c>
      <c r="AC159" s="1">
        <v>26.86</v>
      </c>
      <c r="AD159" t="s">
        <v>58</v>
      </c>
    </row>
    <row r="160" spans="1:30" x14ac:dyDescent="0.3">
      <c r="A160" s="2">
        <v>7583</v>
      </c>
      <c r="B160" s="3">
        <v>45789</v>
      </c>
      <c r="C160" s="2">
        <v>1043</v>
      </c>
      <c r="D160" s="2" t="s">
        <v>77</v>
      </c>
      <c r="E160" t="s">
        <v>77</v>
      </c>
      <c r="F160" t="s">
        <v>73</v>
      </c>
      <c r="G160" t="s">
        <v>109</v>
      </c>
      <c r="H160" t="s">
        <v>38</v>
      </c>
      <c r="I160" s="2">
        <v>2467</v>
      </c>
      <c r="J160" t="s">
        <v>63</v>
      </c>
      <c r="K160" t="s">
        <v>68</v>
      </c>
      <c r="L160" t="s">
        <v>61</v>
      </c>
      <c r="M160">
        <v>2024</v>
      </c>
      <c r="N160">
        <v>41</v>
      </c>
      <c r="O160" t="s">
        <v>75</v>
      </c>
      <c r="P160" s="2">
        <v>1</v>
      </c>
      <c r="Q160" s="1">
        <v>326.25</v>
      </c>
      <c r="R160" t="s">
        <v>32</v>
      </c>
      <c r="S160" s="1">
        <v>0</v>
      </c>
      <c r="T160" s="1">
        <v>326.25</v>
      </c>
      <c r="U160" s="1">
        <f t="shared" si="2"/>
        <v>326.25</v>
      </c>
      <c r="V160" s="1" t="s">
        <v>53</v>
      </c>
      <c r="W160" t="s">
        <v>53</v>
      </c>
      <c r="X160" t="s">
        <v>50</v>
      </c>
      <c r="Y160" t="s">
        <v>50</v>
      </c>
      <c r="Z160" s="2">
        <v>6</v>
      </c>
      <c r="AA160" s="2">
        <v>1</v>
      </c>
      <c r="AB160" s="1">
        <v>39.15</v>
      </c>
      <c r="AC160" s="1">
        <v>0</v>
      </c>
      <c r="AD160" t="s">
        <v>69</v>
      </c>
    </row>
    <row r="161" spans="1:30" x14ac:dyDescent="0.3">
      <c r="A161" s="2">
        <v>7584</v>
      </c>
      <c r="B161" s="3">
        <v>45674</v>
      </c>
      <c r="C161" s="2">
        <v>1086</v>
      </c>
      <c r="D161" s="2" t="s">
        <v>77</v>
      </c>
      <c r="E161" t="s">
        <v>77</v>
      </c>
      <c r="F161" t="s">
        <v>26</v>
      </c>
      <c r="G161" t="s">
        <v>109</v>
      </c>
      <c r="H161" t="s">
        <v>38</v>
      </c>
      <c r="I161" s="2">
        <v>2187</v>
      </c>
      <c r="J161" t="s">
        <v>80</v>
      </c>
      <c r="K161" t="s">
        <v>64</v>
      </c>
      <c r="L161" t="s">
        <v>41</v>
      </c>
      <c r="M161">
        <v>2023</v>
      </c>
      <c r="N161">
        <v>38</v>
      </c>
      <c r="O161" t="s">
        <v>48</v>
      </c>
      <c r="P161" s="2">
        <v>2</v>
      </c>
      <c r="Q161" s="1">
        <v>518.94000000000005</v>
      </c>
      <c r="R161" t="s">
        <v>32</v>
      </c>
      <c r="S161" s="1">
        <v>0</v>
      </c>
      <c r="T161" s="1">
        <v>518.94000000000005</v>
      </c>
      <c r="U161" s="1">
        <f t="shared" si="2"/>
        <v>518.94000000000005</v>
      </c>
      <c r="V161" s="1" t="s">
        <v>112</v>
      </c>
      <c r="W161" t="s">
        <v>33</v>
      </c>
      <c r="X161" t="s">
        <v>115</v>
      </c>
      <c r="Y161" t="s">
        <v>43</v>
      </c>
      <c r="Z161" s="2">
        <v>8</v>
      </c>
      <c r="AA161" s="2">
        <v>1</v>
      </c>
      <c r="AB161" s="1">
        <v>62.27</v>
      </c>
      <c r="AC161" s="1">
        <v>0</v>
      </c>
      <c r="AD161" t="s">
        <v>69</v>
      </c>
    </row>
    <row r="162" spans="1:30" x14ac:dyDescent="0.3">
      <c r="A162" s="2">
        <v>7585</v>
      </c>
      <c r="B162" s="3">
        <v>45789</v>
      </c>
      <c r="C162" s="2">
        <v>1037</v>
      </c>
      <c r="D162" s="2" t="s">
        <v>100</v>
      </c>
      <c r="E162" t="s">
        <v>25</v>
      </c>
      <c r="F162" t="s">
        <v>37</v>
      </c>
      <c r="G162" t="s">
        <v>55</v>
      </c>
      <c r="H162" t="s">
        <v>55</v>
      </c>
      <c r="I162" s="2">
        <v>2485</v>
      </c>
      <c r="J162" t="s">
        <v>46</v>
      </c>
      <c r="K162" t="s">
        <v>47</v>
      </c>
      <c r="L162" t="s">
        <v>41</v>
      </c>
      <c r="M162">
        <v>2023</v>
      </c>
      <c r="N162">
        <v>37</v>
      </c>
      <c r="O162" t="s">
        <v>56</v>
      </c>
      <c r="P162" s="2">
        <v>2</v>
      </c>
      <c r="Q162" s="1">
        <v>462.26</v>
      </c>
      <c r="R162" t="s">
        <v>32</v>
      </c>
      <c r="S162" s="1">
        <v>0</v>
      </c>
      <c r="T162" s="1">
        <v>462.26</v>
      </c>
      <c r="U162" s="1">
        <f t="shared" si="2"/>
        <v>462.26</v>
      </c>
      <c r="V162" s="1" t="s">
        <v>113</v>
      </c>
      <c r="W162" t="s">
        <v>57</v>
      </c>
      <c r="X162" t="s">
        <v>115</v>
      </c>
      <c r="Y162" t="s">
        <v>43</v>
      </c>
      <c r="Z162" s="2">
        <v>15</v>
      </c>
      <c r="AA162" s="2">
        <v>5</v>
      </c>
      <c r="AB162" s="1">
        <v>55.47</v>
      </c>
      <c r="AC162" s="1">
        <v>0</v>
      </c>
      <c r="AD162" t="s">
        <v>35</v>
      </c>
    </row>
    <row r="163" spans="1:30" x14ac:dyDescent="0.3">
      <c r="A163" s="2">
        <v>7586</v>
      </c>
      <c r="B163" s="3">
        <v>45524</v>
      </c>
      <c r="C163" s="2">
        <v>1009</v>
      </c>
      <c r="D163" s="2" t="s">
        <v>104</v>
      </c>
      <c r="E163" t="s">
        <v>76</v>
      </c>
      <c r="F163" t="s">
        <v>73</v>
      </c>
      <c r="G163" t="s">
        <v>109</v>
      </c>
      <c r="H163" t="s">
        <v>38</v>
      </c>
      <c r="I163" s="2">
        <v>2710</v>
      </c>
      <c r="J163" t="s">
        <v>80</v>
      </c>
      <c r="K163" t="s">
        <v>64</v>
      </c>
      <c r="L163" t="s">
        <v>41</v>
      </c>
      <c r="M163">
        <v>2024</v>
      </c>
      <c r="N163">
        <v>37</v>
      </c>
      <c r="O163" t="s">
        <v>31</v>
      </c>
      <c r="P163" s="2">
        <v>1</v>
      </c>
      <c r="Q163" s="1">
        <v>574.17999999999995</v>
      </c>
      <c r="R163" t="s">
        <v>32</v>
      </c>
      <c r="S163" s="1">
        <v>0</v>
      </c>
      <c r="T163" s="1">
        <v>574.17999999999995</v>
      </c>
      <c r="U163" s="1">
        <f t="shared" si="2"/>
        <v>574.17999999999995</v>
      </c>
      <c r="V163" s="1" t="s">
        <v>112</v>
      </c>
      <c r="W163" t="s">
        <v>33</v>
      </c>
      <c r="X163" t="s">
        <v>115</v>
      </c>
      <c r="Y163" t="s">
        <v>43</v>
      </c>
      <c r="Z163" s="2">
        <v>3</v>
      </c>
      <c r="AA163" s="2">
        <v>3</v>
      </c>
      <c r="AB163" s="1">
        <v>68.900000000000006</v>
      </c>
      <c r="AC163" s="1">
        <v>0</v>
      </c>
      <c r="AD163" t="s">
        <v>69</v>
      </c>
    </row>
    <row r="164" spans="1:30" x14ac:dyDescent="0.3">
      <c r="A164" s="2">
        <v>7587</v>
      </c>
      <c r="B164" s="3">
        <v>45708</v>
      </c>
      <c r="C164" s="2">
        <v>1067</v>
      </c>
      <c r="D164" s="2" t="s">
        <v>83</v>
      </c>
      <c r="E164" t="s">
        <v>83</v>
      </c>
      <c r="F164" t="s">
        <v>60</v>
      </c>
      <c r="G164" t="s">
        <v>27</v>
      </c>
      <c r="H164" t="s">
        <v>27</v>
      </c>
      <c r="I164" s="2">
        <v>2311</v>
      </c>
      <c r="J164" t="s">
        <v>39</v>
      </c>
      <c r="K164" t="s">
        <v>64</v>
      </c>
      <c r="L164" t="s">
        <v>61</v>
      </c>
      <c r="M164">
        <v>2022</v>
      </c>
      <c r="N164">
        <v>37</v>
      </c>
      <c r="O164" t="s">
        <v>66</v>
      </c>
      <c r="P164" s="2">
        <v>1</v>
      </c>
      <c r="Q164" s="1">
        <v>731.44</v>
      </c>
      <c r="R164" t="s">
        <v>42</v>
      </c>
      <c r="S164" s="1">
        <v>73.14</v>
      </c>
      <c r="T164" s="1">
        <v>6583000000000000</v>
      </c>
      <c r="U164" s="1">
        <f t="shared" si="2"/>
        <v>658.30000000000007</v>
      </c>
      <c r="V164" s="1" t="s">
        <v>53</v>
      </c>
      <c r="W164" t="s">
        <v>53</v>
      </c>
      <c r="X164" t="s">
        <v>115</v>
      </c>
      <c r="Y164" t="s">
        <v>43</v>
      </c>
      <c r="Z164" s="2">
        <v>13</v>
      </c>
      <c r="AA164" s="2">
        <v>2</v>
      </c>
      <c r="AB164" s="1">
        <v>87.77</v>
      </c>
      <c r="AC164" s="1">
        <v>36.57</v>
      </c>
      <c r="AD164" t="s">
        <v>58</v>
      </c>
    </row>
    <row r="165" spans="1:30" x14ac:dyDescent="0.3">
      <c r="A165" s="2">
        <v>7588</v>
      </c>
      <c r="B165" s="3">
        <v>45756</v>
      </c>
      <c r="C165" s="2">
        <v>1022</v>
      </c>
      <c r="D165" s="2" t="s">
        <v>88</v>
      </c>
      <c r="E165" t="s">
        <v>88</v>
      </c>
      <c r="F165" t="s">
        <v>37</v>
      </c>
      <c r="G165" t="s">
        <v>27</v>
      </c>
      <c r="H165" t="s">
        <v>27</v>
      </c>
      <c r="I165" s="2">
        <v>2252</v>
      </c>
      <c r="J165" t="s">
        <v>51</v>
      </c>
      <c r="K165" t="s">
        <v>52</v>
      </c>
      <c r="L165" t="s">
        <v>41</v>
      </c>
      <c r="M165">
        <v>2024</v>
      </c>
      <c r="N165">
        <v>40</v>
      </c>
      <c r="O165" t="s">
        <v>31</v>
      </c>
      <c r="P165" s="2">
        <v>4</v>
      </c>
      <c r="Q165" s="1">
        <v>517.46</v>
      </c>
      <c r="R165" t="s">
        <v>32</v>
      </c>
      <c r="S165" s="1">
        <v>0</v>
      </c>
      <c r="T165" s="1">
        <v>517.46</v>
      </c>
      <c r="U165" s="1">
        <f t="shared" si="2"/>
        <v>517.46</v>
      </c>
      <c r="V165" s="1" t="s">
        <v>112</v>
      </c>
      <c r="W165" t="s">
        <v>33</v>
      </c>
      <c r="X165" t="s">
        <v>34</v>
      </c>
      <c r="Y165" t="s">
        <v>34</v>
      </c>
      <c r="Z165" s="2">
        <v>3</v>
      </c>
      <c r="AA165" s="2">
        <v>2</v>
      </c>
      <c r="AB165" s="1">
        <v>62.1</v>
      </c>
      <c r="AC165" s="1">
        <v>0</v>
      </c>
      <c r="AD165" t="s">
        <v>58</v>
      </c>
    </row>
    <row r="166" spans="1:30" x14ac:dyDescent="0.3">
      <c r="A166" s="2">
        <v>7589</v>
      </c>
      <c r="B166" s="3">
        <v>45454</v>
      </c>
      <c r="C166" s="2">
        <v>1043</v>
      </c>
      <c r="D166" s="2" t="s">
        <v>103</v>
      </c>
      <c r="E166" t="s">
        <v>74</v>
      </c>
      <c r="F166" t="s">
        <v>26</v>
      </c>
      <c r="G166" t="s">
        <v>27</v>
      </c>
      <c r="H166" t="s">
        <v>27</v>
      </c>
      <c r="I166" s="2">
        <v>2765</v>
      </c>
      <c r="J166" t="s">
        <v>80</v>
      </c>
      <c r="K166" t="s">
        <v>47</v>
      </c>
      <c r="L166" t="s">
        <v>30</v>
      </c>
      <c r="M166">
        <v>2024</v>
      </c>
      <c r="N166">
        <v>39</v>
      </c>
      <c r="O166" t="s">
        <v>31</v>
      </c>
      <c r="P166" s="2">
        <v>3</v>
      </c>
      <c r="Q166" s="1">
        <v>739.31</v>
      </c>
      <c r="R166" t="s">
        <v>32</v>
      </c>
      <c r="S166" s="1">
        <v>0</v>
      </c>
      <c r="T166" s="1">
        <v>739.31</v>
      </c>
      <c r="U166" s="1">
        <f t="shared" si="2"/>
        <v>739.31</v>
      </c>
      <c r="V166" s="1" t="s">
        <v>112</v>
      </c>
      <c r="W166" t="s">
        <v>33</v>
      </c>
      <c r="X166" t="s">
        <v>50</v>
      </c>
      <c r="Y166" t="s">
        <v>50</v>
      </c>
      <c r="Z166" s="2">
        <v>6</v>
      </c>
      <c r="AA166" s="2">
        <v>1</v>
      </c>
      <c r="AB166" s="1">
        <v>88.72</v>
      </c>
      <c r="AC166" s="1">
        <v>0</v>
      </c>
      <c r="AD166" t="s">
        <v>35</v>
      </c>
    </row>
    <row r="167" spans="1:30" x14ac:dyDescent="0.3">
      <c r="A167" s="2">
        <v>7590</v>
      </c>
      <c r="B167" s="3">
        <v>45506</v>
      </c>
      <c r="C167" s="2">
        <v>1026</v>
      </c>
      <c r="D167" s="2" t="s">
        <v>82</v>
      </c>
      <c r="E167" t="s">
        <v>82</v>
      </c>
      <c r="F167" t="s">
        <v>37</v>
      </c>
      <c r="G167" t="s">
        <v>55</v>
      </c>
      <c r="H167" t="s">
        <v>55</v>
      </c>
      <c r="I167" s="2">
        <v>2508</v>
      </c>
      <c r="J167" t="s">
        <v>51</v>
      </c>
      <c r="K167" t="s">
        <v>47</v>
      </c>
      <c r="L167" t="s">
        <v>30</v>
      </c>
      <c r="M167">
        <v>2023</v>
      </c>
      <c r="N167">
        <v>37</v>
      </c>
      <c r="O167" t="s">
        <v>75</v>
      </c>
      <c r="P167" s="2">
        <v>5</v>
      </c>
      <c r="Q167" s="1">
        <v>433.91</v>
      </c>
      <c r="R167" t="s">
        <v>32</v>
      </c>
      <c r="S167" s="1">
        <v>0</v>
      </c>
      <c r="T167" s="1">
        <v>433.91</v>
      </c>
      <c r="U167" s="1">
        <f t="shared" si="2"/>
        <v>433.91</v>
      </c>
      <c r="V167" s="1" t="s">
        <v>113</v>
      </c>
      <c r="W167" t="s">
        <v>57</v>
      </c>
      <c r="X167" t="s">
        <v>115</v>
      </c>
      <c r="Y167" t="s">
        <v>43</v>
      </c>
      <c r="Z167" s="2">
        <v>12</v>
      </c>
      <c r="AA167" s="2">
        <v>5</v>
      </c>
      <c r="AB167" s="1">
        <v>52.07</v>
      </c>
      <c r="AC167" s="1">
        <v>0</v>
      </c>
      <c r="AD167" t="s">
        <v>69</v>
      </c>
    </row>
    <row r="168" spans="1:30" x14ac:dyDescent="0.3">
      <c r="A168" s="2">
        <v>7591</v>
      </c>
      <c r="B168" s="3">
        <v>45743</v>
      </c>
      <c r="C168" s="2">
        <v>1063</v>
      </c>
      <c r="D168" s="2" t="s">
        <v>98</v>
      </c>
      <c r="E168" t="s">
        <v>98</v>
      </c>
      <c r="F168" t="s">
        <v>60</v>
      </c>
      <c r="G168" t="s">
        <v>27</v>
      </c>
      <c r="H168" t="s">
        <v>27</v>
      </c>
      <c r="I168" s="2">
        <v>2501</v>
      </c>
      <c r="J168" t="s">
        <v>80</v>
      </c>
      <c r="K168" t="s">
        <v>40</v>
      </c>
      <c r="L168" t="s">
        <v>41</v>
      </c>
      <c r="M168">
        <v>2022</v>
      </c>
      <c r="N168">
        <v>37</v>
      </c>
      <c r="O168" t="s">
        <v>75</v>
      </c>
      <c r="P168" s="2">
        <v>2</v>
      </c>
      <c r="Q168" s="1">
        <v>564.51</v>
      </c>
      <c r="R168" t="s">
        <v>42</v>
      </c>
      <c r="S168" s="1">
        <v>56.45</v>
      </c>
      <c r="T168" s="1">
        <v>508.06</v>
      </c>
      <c r="U168" s="1">
        <f t="shared" si="2"/>
        <v>508.06</v>
      </c>
      <c r="V168" s="1" t="s">
        <v>113</v>
      </c>
      <c r="W168" t="s">
        <v>57</v>
      </c>
      <c r="X168" t="s">
        <v>115</v>
      </c>
      <c r="Y168" t="s">
        <v>43</v>
      </c>
      <c r="Z168" s="2">
        <v>3</v>
      </c>
      <c r="AA168" s="2">
        <v>3</v>
      </c>
      <c r="AB168" s="1">
        <v>67.739999999999995</v>
      </c>
      <c r="AC168" s="1">
        <v>28.23</v>
      </c>
      <c r="AD168" t="s">
        <v>69</v>
      </c>
    </row>
    <row r="169" spans="1:30" x14ac:dyDescent="0.3">
      <c r="A169" s="2">
        <v>7592</v>
      </c>
      <c r="B169" s="3">
        <v>45659</v>
      </c>
      <c r="C169" s="2">
        <v>1052</v>
      </c>
      <c r="D169" s="2" t="s">
        <v>95</v>
      </c>
      <c r="E169" t="s">
        <v>95</v>
      </c>
      <c r="F169" t="s">
        <v>45</v>
      </c>
      <c r="G169" t="s">
        <v>27</v>
      </c>
      <c r="H169" t="s">
        <v>27</v>
      </c>
      <c r="I169" s="2">
        <v>2264</v>
      </c>
      <c r="J169" t="s">
        <v>39</v>
      </c>
      <c r="K169" t="s">
        <v>78</v>
      </c>
      <c r="L169" t="s">
        <v>61</v>
      </c>
      <c r="M169">
        <v>2022</v>
      </c>
      <c r="N169">
        <v>38</v>
      </c>
      <c r="O169" t="s">
        <v>56</v>
      </c>
      <c r="P169" s="2">
        <v>1</v>
      </c>
      <c r="Q169" s="1">
        <v>345.46</v>
      </c>
      <c r="R169" t="s">
        <v>32</v>
      </c>
      <c r="S169" s="1">
        <v>0</v>
      </c>
      <c r="T169" s="1">
        <v>345.46</v>
      </c>
      <c r="U169" s="1">
        <f t="shared" si="2"/>
        <v>345.46</v>
      </c>
      <c r="V169" s="1" t="s">
        <v>112</v>
      </c>
      <c r="W169" t="s">
        <v>33</v>
      </c>
      <c r="X169" t="s">
        <v>34</v>
      </c>
      <c r="Y169" t="s">
        <v>34</v>
      </c>
      <c r="Z169" s="2">
        <v>5</v>
      </c>
      <c r="AA169" s="2">
        <v>2</v>
      </c>
      <c r="AB169" s="1">
        <v>41.46</v>
      </c>
      <c r="AC169" s="1">
        <v>0</v>
      </c>
      <c r="AD169" t="s">
        <v>69</v>
      </c>
    </row>
    <row r="170" spans="1:30" x14ac:dyDescent="0.3">
      <c r="A170" s="2">
        <v>7593</v>
      </c>
      <c r="B170" s="3">
        <v>45669</v>
      </c>
      <c r="C170" s="2">
        <v>1000</v>
      </c>
      <c r="D170" s="2" t="s">
        <v>104</v>
      </c>
      <c r="E170" t="s">
        <v>76</v>
      </c>
      <c r="F170" t="s">
        <v>73</v>
      </c>
      <c r="G170" t="s">
        <v>109</v>
      </c>
      <c r="H170" t="s">
        <v>38</v>
      </c>
      <c r="I170" s="2">
        <v>2598</v>
      </c>
      <c r="J170" t="s">
        <v>39</v>
      </c>
      <c r="K170" t="s">
        <v>64</v>
      </c>
      <c r="L170" t="s">
        <v>41</v>
      </c>
      <c r="M170">
        <v>2022</v>
      </c>
      <c r="N170">
        <v>39</v>
      </c>
      <c r="O170" t="s">
        <v>48</v>
      </c>
      <c r="P170" s="2">
        <v>5</v>
      </c>
      <c r="Q170" s="1">
        <v>674.91</v>
      </c>
      <c r="R170" t="s">
        <v>32</v>
      </c>
      <c r="S170" s="1">
        <v>0</v>
      </c>
      <c r="T170" s="1">
        <v>674.91</v>
      </c>
      <c r="U170" s="1">
        <f t="shared" si="2"/>
        <v>674.91</v>
      </c>
      <c r="V170" s="1" t="s">
        <v>49</v>
      </c>
      <c r="W170" t="s">
        <v>49</v>
      </c>
      <c r="X170" t="s">
        <v>34</v>
      </c>
      <c r="Y170" t="s">
        <v>34</v>
      </c>
      <c r="Z170" s="2">
        <v>2</v>
      </c>
      <c r="AA170" s="2">
        <v>4</v>
      </c>
      <c r="AB170" s="1">
        <v>80.989999999999995</v>
      </c>
      <c r="AC170" s="1">
        <v>0</v>
      </c>
      <c r="AD170" t="s">
        <v>69</v>
      </c>
    </row>
    <row r="171" spans="1:30" x14ac:dyDescent="0.3">
      <c r="A171" s="2">
        <v>7594</v>
      </c>
      <c r="B171" s="3">
        <v>45658</v>
      </c>
      <c r="C171" s="2">
        <v>1045</v>
      </c>
      <c r="D171" s="2" t="s">
        <v>87</v>
      </c>
      <c r="E171" t="s">
        <v>87</v>
      </c>
      <c r="F171" t="s">
        <v>60</v>
      </c>
      <c r="G171" t="s">
        <v>109</v>
      </c>
      <c r="H171" t="s">
        <v>38</v>
      </c>
      <c r="I171" s="2">
        <v>2755</v>
      </c>
      <c r="J171" t="s">
        <v>86</v>
      </c>
      <c r="K171" t="s">
        <v>52</v>
      </c>
      <c r="L171" t="s">
        <v>41</v>
      </c>
      <c r="M171">
        <v>2022</v>
      </c>
      <c r="N171">
        <v>37</v>
      </c>
      <c r="O171" t="s">
        <v>48</v>
      </c>
      <c r="P171" s="2">
        <v>2</v>
      </c>
      <c r="Q171" s="1">
        <v>581.42999999999995</v>
      </c>
      <c r="R171" t="s">
        <v>32</v>
      </c>
      <c r="S171" s="1">
        <v>0</v>
      </c>
      <c r="T171" s="1">
        <v>581.42999999999995</v>
      </c>
      <c r="U171" s="1">
        <f t="shared" si="2"/>
        <v>581.42999999999995</v>
      </c>
      <c r="V171" s="1" t="s">
        <v>53</v>
      </c>
      <c r="W171" t="s">
        <v>53</v>
      </c>
      <c r="X171" t="s">
        <v>115</v>
      </c>
      <c r="Y171" t="s">
        <v>43</v>
      </c>
      <c r="Z171" s="2">
        <v>4</v>
      </c>
      <c r="AA171" s="2">
        <v>4</v>
      </c>
      <c r="AB171" s="1">
        <v>69.77</v>
      </c>
      <c r="AC171" s="1">
        <v>0</v>
      </c>
      <c r="AD171" t="s">
        <v>69</v>
      </c>
    </row>
    <row r="172" spans="1:30" x14ac:dyDescent="0.3">
      <c r="A172" s="2">
        <v>7595</v>
      </c>
      <c r="B172" s="3">
        <v>45683</v>
      </c>
      <c r="C172" s="2">
        <v>1002</v>
      </c>
      <c r="D172" s="2" t="s">
        <v>96</v>
      </c>
      <c r="E172" t="s">
        <v>96</v>
      </c>
      <c r="F172" t="s">
        <v>45</v>
      </c>
      <c r="G172" t="s">
        <v>27</v>
      </c>
      <c r="H172" t="s">
        <v>27</v>
      </c>
      <c r="I172" s="2">
        <v>2351</v>
      </c>
      <c r="J172" t="s">
        <v>28</v>
      </c>
      <c r="K172" t="s">
        <v>78</v>
      </c>
      <c r="L172" t="s">
        <v>41</v>
      </c>
      <c r="M172">
        <v>2022</v>
      </c>
      <c r="N172">
        <v>39</v>
      </c>
      <c r="O172" t="s">
        <v>75</v>
      </c>
      <c r="P172" s="2">
        <v>3</v>
      </c>
      <c r="Q172" s="1">
        <v>727.86</v>
      </c>
      <c r="R172" t="s">
        <v>32</v>
      </c>
      <c r="S172" s="1">
        <v>0</v>
      </c>
      <c r="T172" s="1">
        <v>727.86</v>
      </c>
      <c r="U172" s="1">
        <f t="shared" si="2"/>
        <v>727.86</v>
      </c>
      <c r="V172" s="1" t="s">
        <v>113</v>
      </c>
      <c r="W172" t="s">
        <v>57</v>
      </c>
      <c r="X172" t="s">
        <v>115</v>
      </c>
      <c r="Y172" t="s">
        <v>43</v>
      </c>
      <c r="Z172" s="2">
        <v>15</v>
      </c>
      <c r="AA172" s="2">
        <v>1</v>
      </c>
      <c r="AB172" s="1">
        <v>87.34</v>
      </c>
      <c r="AC172" s="1">
        <v>0</v>
      </c>
      <c r="AD172" t="s">
        <v>58</v>
      </c>
    </row>
    <row r="173" spans="1:30" x14ac:dyDescent="0.3">
      <c r="A173" s="2">
        <v>7596</v>
      </c>
      <c r="B173" s="3">
        <v>45608</v>
      </c>
      <c r="C173" s="2">
        <v>1000</v>
      </c>
      <c r="D173" s="2" t="s">
        <v>103</v>
      </c>
      <c r="E173" t="s">
        <v>74</v>
      </c>
      <c r="F173" t="s">
        <v>26</v>
      </c>
      <c r="G173" t="s">
        <v>55</v>
      </c>
      <c r="H173" t="s">
        <v>55</v>
      </c>
      <c r="I173" s="2">
        <v>2053</v>
      </c>
      <c r="J173" t="s">
        <v>63</v>
      </c>
      <c r="K173" t="s">
        <v>40</v>
      </c>
      <c r="L173" t="s">
        <v>30</v>
      </c>
      <c r="M173">
        <v>2024</v>
      </c>
      <c r="N173">
        <v>37</v>
      </c>
      <c r="O173" t="s">
        <v>66</v>
      </c>
      <c r="P173" s="2">
        <v>2</v>
      </c>
      <c r="Q173" s="1">
        <v>397.85</v>
      </c>
      <c r="R173" t="s">
        <v>32</v>
      </c>
      <c r="S173" s="1">
        <v>0</v>
      </c>
      <c r="T173" s="1">
        <v>397.85</v>
      </c>
      <c r="U173" s="1">
        <f t="shared" si="2"/>
        <v>397.85</v>
      </c>
      <c r="V173" s="1" t="s">
        <v>53</v>
      </c>
      <c r="W173" t="s">
        <v>53</v>
      </c>
      <c r="X173" t="s">
        <v>34</v>
      </c>
      <c r="Y173" t="s">
        <v>34</v>
      </c>
      <c r="Z173" s="2">
        <v>13</v>
      </c>
      <c r="AA173" s="2">
        <v>2</v>
      </c>
      <c r="AB173" s="1">
        <v>47.74</v>
      </c>
      <c r="AC173" s="1">
        <v>0</v>
      </c>
      <c r="AD173" t="s">
        <v>35</v>
      </c>
    </row>
    <row r="174" spans="1:30" x14ac:dyDescent="0.3">
      <c r="A174" s="2">
        <v>7597</v>
      </c>
      <c r="B174" s="3">
        <v>45699</v>
      </c>
      <c r="C174" s="2">
        <v>1100</v>
      </c>
      <c r="D174" s="2" t="s">
        <v>90</v>
      </c>
      <c r="E174" t="s">
        <v>90</v>
      </c>
      <c r="F174" t="s">
        <v>73</v>
      </c>
      <c r="G174" t="s">
        <v>109</v>
      </c>
      <c r="H174" t="s">
        <v>38</v>
      </c>
      <c r="I174" s="2">
        <v>2093</v>
      </c>
      <c r="J174" t="s">
        <v>46</v>
      </c>
      <c r="K174" t="s">
        <v>72</v>
      </c>
      <c r="L174" t="s">
        <v>61</v>
      </c>
      <c r="M174">
        <v>2022</v>
      </c>
      <c r="N174">
        <v>40</v>
      </c>
      <c r="O174" t="s">
        <v>56</v>
      </c>
      <c r="P174" s="2">
        <v>4</v>
      </c>
      <c r="Q174" s="1">
        <v>335.35</v>
      </c>
      <c r="R174" t="s">
        <v>42</v>
      </c>
      <c r="S174" s="1">
        <v>33.54</v>
      </c>
      <c r="T174" s="1">
        <v>301.81</v>
      </c>
      <c r="U174" s="1">
        <f t="shared" si="2"/>
        <v>301.81</v>
      </c>
      <c r="V174" s="1" t="s">
        <v>49</v>
      </c>
      <c r="W174" t="s">
        <v>49</v>
      </c>
      <c r="X174" t="s">
        <v>34</v>
      </c>
      <c r="Y174" t="s">
        <v>34</v>
      </c>
      <c r="Z174" s="2">
        <v>2</v>
      </c>
      <c r="AA174" s="2">
        <v>3</v>
      </c>
      <c r="AB174" s="1">
        <v>40.24</v>
      </c>
      <c r="AC174" s="1">
        <v>16.77</v>
      </c>
      <c r="AD174" t="s">
        <v>69</v>
      </c>
    </row>
    <row r="175" spans="1:30" x14ac:dyDescent="0.3">
      <c r="A175" s="2">
        <v>7598</v>
      </c>
      <c r="B175" s="3">
        <v>45482</v>
      </c>
      <c r="C175" s="2">
        <v>1042</v>
      </c>
      <c r="D175" s="2" t="s">
        <v>82</v>
      </c>
      <c r="E175" t="s">
        <v>82</v>
      </c>
      <c r="F175" t="s">
        <v>73</v>
      </c>
      <c r="G175" t="s">
        <v>55</v>
      </c>
      <c r="H175" t="s">
        <v>55</v>
      </c>
      <c r="I175" s="2">
        <v>2287</v>
      </c>
      <c r="J175" t="s">
        <v>86</v>
      </c>
      <c r="K175" t="s">
        <v>64</v>
      </c>
      <c r="L175" t="s">
        <v>41</v>
      </c>
      <c r="M175">
        <v>2023</v>
      </c>
      <c r="N175">
        <v>38</v>
      </c>
      <c r="O175" t="s">
        <v>66</v>
      </c>
      <c r="P175" s="2">
        <v>3</v>
      </c>
      <c r="Q175" s="1">
        <v>463.41</v>
      </c>
      <c r="R175" t="s">
        <v>32</v>
      </c>
      <c r="S175" s="1">
        <v>0</v>
      </c>
      <c r="T175" s="1">
        <v>463.41</v>
      </c>
      <c r="U175" s="1">
        <f t="shared" si="2"/>
        <v>463.41</v>
      </c>
      <c r="V175" s="1" t="s">
        <v>49</v>
      </c>
      <c r="W175" t="s">
        <v>49</v>
      </c>
      <c r="X175" t="s">
        <v>34</v>
      </c>
      <c r="Y175" t="s">
        <v>34</v>
      </c>
      <c r="Z175" s="2">
        <v>9</v>
      </c>
      <c r="AA175" s="2">
        <v>4</v>
      </c>
      <c r="AB175" s="1">
        <v>55.61</v>
      </c>
      <c r="AC175" s="1">
        <v>0</v>
      </c>
      <c r="AD175" t="s">
        <v>69</v>
      </c>
    </row>
    <row r="176" spans="1:30" x14ac:dyDescent="0.3">
      <c r="A176" s="2">
        <v>7599</v>
      </c>
      <c r="B176" s="3">
        <v>45792</v>
      </c>
      <c r="C176" s="2">
        <v>1017</v>
      </c>
      <c r="D176" s="2" t="s">
        <v>101</v>
      </c>
      <c r="E176" t="s">
        <v>44</v>
      </c>
      <c r="F176" t="s">
        <v>60</v>
      </c>
      <c r="G176" t="s">
        <v>55</v>
      </c>
      <c r="H176" t="s">
        <v>55</v>
      </c>
      <c r="I176" s="2">
        <v>2430</v>
      </c>
      <c r="J176" t="s">
        <v>39</v>
      </c>
      <c r="K176" t="s">
        <v>52</v>
      </c>
      <c r="L176" t="s">
        <v>41</v>
      </c>
      <c r="M176">
        <v>2024</v>
      </c>
      <c r="N176">
        <v>40</v>
      </c>
      <c r="O176" t="s">
        <v>56</v>
      </c>
      <c r="P176" s="2">
        <v>5</v>
      </c>
      <c r="Q176" s="1">
        <v>613.28</v>
      </c>
      <c r="R176" t="s">
        <v>32</v>
      </c>
      <c r="S176" s="1">
        <v>0</v>
      </c>
      <c r="T176" s="1">
        <v>613.28</v>
      </c>
      <c r="U176" s="1">
        <f t="shared" si="2"/>
        <v>613.28</v>
      </c>
      <c r="V176" s="1" t="s">
        <v>113</v>
      </c>
      <c r="W176" t="s">
        <v>57</v>
      </c>
      <c r="X176" t="s">
        <v>50</v>
      </c>
      <c r="Y176" t="s">
        <v>50</v>
      </c>
      <c r="Z176" s="2">
        <v>14</v>
      </c>
      <c r="AA176" s="2">
        <v>2</v>
      </c>
      <c r="AB176" s="1">
        <v>73.59</v>
      </c>
      <c r="AC176" s="1">
        <v>0</v>
      </c>
      <c r="AD176" t="s">
        <v>35</v>
      </c>
    </row>
    <row r="177" spans="1:30" x14ac:dyDescent="0.3">
      <c r="A177" s="2">
        <v>7600</v>
      </c>
      <c r="B177" s="3">
        <v>45729</v>
      </c>
      <c r="C177" s="2">
        <v>1059</v>
      </c>
      <c r="D177" s="2" t="s">
        <v>96</v>
      </c>
      <c r="E177" t="s">
        <v>96</v>
      </c>
      <c r="F177" t="s">
        <v>60</v>
      </c>
      <c r="G177" t="s">
        <v>55</v>
      </c>
      <c r="H177" t="s">
        <v>55</v>
      </c>
      <c r="I177" s="2">
        <v>2611</v>
      </c>
      <c r="J177" t="s">
        <v>63</v>
      </c>
      <c r="K177" t="s">
        <v>72</v>
      </c>
      <c r="L177" t="s">
        <v>61</v>
      </c>
      <c r="M177">
        <v>2022</v>
      </c>
      <c r="N177">
        <v>37</v>
      </c>
      <c r="O177" t="s">
        <v>48</v>
      </c>
      <c r="P177" s="2">
        <v>2</v>
      </c>
      <c r="Q177" s="1">
        <v>407.48</v>
      </c>
      <c r="R177" t="s">
        <v>32</v>
      </c>
      <c r="S177" s="1">
        <v>0</v>
      </c>
      <c r="T177" s="1">
        <v>407.48</v>
      </c>
      <c r="U177" s="1">
        <f t="shared" si="2"/>
        <v>407.48</v>
      </c>
      <c r="V177" s="1" t="s">
        <v>113</v>
      </c>
      <c r="W177" t="s">
        <v>57</v>
      </c>
      <c r="X177" t="s">
        <v>115</v>
      </c>
      <c r="Y177" t="s">
        <v>43</v>
      </c>
      <c r="Z177" s="2">
        <v>4</v>
      </c>
      <c r="AA177" s="2">
        <v>3</v>
      </c>
      <c r="AB177" s="1">
        <v>48.9</v>
      </c>
      <c r="AC177" s="1">
        <v>0</v>
      </c>
      <c r="AD177" t="s">
        <v>58</v>
      </c>
    </row>
    <row r="178" spans="1:30" x14ac:dyDescent="0.3">
      <c r="A178" s="2">
        <v>7601</v>
      </c>
      <c r="B178" s="3">
        <v>45651</v>
      </c>
      <c r="C178" s="2">
        <v>1041</v>
      </c>
      <c r="D178" s="2" t="s">
        <v>104</v>
      </c>
      <c r="E178" t="s">
        <v>76</v>
      </c>
      <c r="F178" t="s">
        <v>73</v>
      </c>
      <c r="G178" t="s">
        <v>27</v>
      </c>
      <c r="H178" t="s">
        <v>27</v>
      </c>
      <c r="I178" s="2">
        <v>2234</v>
      </c>
      <c r="J178" t="s">
        <v>51</v>
      </c>
      <c r="K178" t="s">
        <v>52</v>
      </c>
      <c r="L178" t="s">
        <v>61</v>
      </c>
      <c r="M178">
        <v>2023</v>
      </c>
      <c r="N178">
        <v>41</v>
      </c>
      <c r="O178" t="s">
        <v>66</v>
      </c>
      <c r="P178" s="2">
        <v>1</v>
      </c>
      <c r="Q178" s="1">
        <v>320.23</v>
      </c>
      <c r="R178" t="s">
        <v>42</v>
      </c>
      <c r="S178" s="1">
        <v>32.020000000000003</v>
      </c>
      <c r="T178" s="1">
        <v>2.8821E+16</v>
      </c>
      <c r="U178" s="1">
        <f t="shared" si="2"/>
        <v>288.21000000000004</v>
      </c>
      <c r="V178" s="1" t="s">
        <v>112</v>
      </c>
      <c r="W178" t="s">
        <v>33</v>
      </c>
      <c r="X178" t="s">
        <v>115</v>
      </c>
      <c r="Y178" t="s">
        <v>43</v>
      </c>
      <c r="Z178" s="2">
        <v>9</v>
      </c>
      <c r="AA178" s="2">
        <v>4</v>
      </c>
      <c r="AB178" s="1">
        <v>38.43</v>
      </c>
      <c r="AC178" s="1">
        <v>16.010000000000002</v>
      </c>
      <c r="AD178" t="s">
        <v>69</v>
      </c>
    </row>
    <row r="179" spans="1:30" x14ac:dyDescent="0.3">
      <c r="A179" s="2">
        <v>7602</v>
      </c>
      <c r="B179" s="3">
        <v>45676</v>
      </c>
      <c r="C179" s="2">
        <v>1036</v>
      </c>
      <c r="D179" s="2" t="s">
        <v>62</v>
      </c>
      <c r="E179" t="s">
        <v>62</v>
      </c>
      <c r="F179" t="s">
        <v>26</v>
      </c>
      <c r="G179" t="s">
        <v>27</v>
      </c>
      <c r="H179" t="s">
        <v>27</v>
      </c>
      <c r="I179" s="2">
        <v>2826</v>
      </c>
      <c r="J179" t="s">
        <v>71</v>
      </c>
      <c r="K179" t="s">
        <v>78</v>
      </c>
      <c r="L179" t="s">
        <v>30</v>
      </c>
      <c r="M179">
        <v>2022</v>
      </c>
      <c r="N179">
        <v>41</v>
      </c>
      <c r="O179" t="s">
        <v>56</v>
      </c>
      <c r="P179" s="2">
        <v>3</v>
      </c>
      <c r="Q179" s="1">
        <v>745.32</v>
      </c>
      <c r="R179" t="s">
        <v>32</v>
      </c>
      <c r="S179" s="1">
        <v>0</v>
      </c>
      <c r="T179" s="1">
        <v>745.32</v>
      </c>
      <c r="U179" s="1">
        <f t="shared" si="2"/>
        <v>745.32</v>
      </c>
      <c r="V179" s="1" t="s">
        <v>53</v>
      </c>
      <c r="W179" t="s">
        <v>53</v>
      </c>
      <c r="X179" t="s">
        <v>34</v>
      </c>
      <c r="Y179" t="s">
        <v>34</v>
      </c>
      <c r="Z179" s="2">
        <v>12</v>
      </c>
      <c r="AA179" s="2">
        <v>5</v>
      </c>
      <c r="AB179" s="1">
        <v>89.44</v>
      </c>
      <c r="AC179" s="1">
        <v>0</v>
      </c>
      <c r="AD179" t="s">
        <v>35</v>
      </c>
    </row>
    <row r="180" spans="1:30" x14ac:dyDescent="0.3">
      <c r="A180" s="2">
        <v>7603</v>
      </c>
      <c r="B180" s="3">
        <v>45534</v>
      </c>
      <c r="C180" s="2">
        <v>1087</v>
      </c>
      <c r="D180" s="2" t="s">
        <v>84</v>
      </c>
      <c r="E180" t="s">
        <v>84</v>
      </c>
      <c r="F180" t="s">
        <v>45</v>
      </c>
      <c r="G180" t="s">
        <v>109</v>
      </c>
      <c r="H180" t="s">
        <v>38</v>
      </c>
      <c r="I180" s="2">
        <v>2226</v>
      </c>
      <c r="J180" t="s">
        <v>80</v>
      </c>
      <c r="K180" t="s">
        <v>72</v>
      </c>
      <c r="L180" t="s">
        <v>61</v>
      </c>
      <c r="M180">
        <v>2023</v>
      </c>
      <c r="N180">
        <v>40</v>
      </c>
      <c r="O180" t="s">
        <v>66</v>
      </c>
      <c r="P180" s="2">
        <v>5</v>
      </c>
      <c r="Q180" s="1">
        <v>431.03</v>
      </c>
      <c r="R180" t="s">
        <v>42</v>
      </c>
      <c r="S180" s="1">
        <v>43.1</v>
      </c>
      <c r="T180" s="1">
        <v>3.8792999999999904E+16</v>
      </c>
      <c r="U180" s="1">
        <f t="shared" si="2"/>
        <v>387.92999999999995</v>
      </c>
      <c r="V180" s="1" t="s">
        <v>112</v>
      </c>
      <c r="W180" t="s">
        <v>33</v>
      </c>
      <c r="X180" t="s">
        <v>50</v>
      </c>
      <c r="Y180" t="s">
        <v>50</v>
      </c>
      <c r="Z180" s="2">
        <v>10</v>
      </c>
      <c r="AA180" s="2">
        <v>4</v>
      </c>
      <c r="AB180" s="1">
        <v>51.72</v>
      </c>
      <c r="AC180" s="1">
        <v>21.55</v>
      </c>
      <c r="AD180" t="s">
        <v>58</v>
      </c>
    </row>
    <row r="181" spans="1:30" x14ac:dyDescent="0.3">
      <c r="A181" s="2">
        <v>7604</v>
      </c>
      <c r="B181" s="3">
        <v>45550</v>
      </c>
      <c r="C181" s="2">
        <v>1085</v>
      </c>
      <c r="D181" s="2" t="s">
        <v>62</v>
      </c>
      <c r="E181" t="s">
        <v>62</v>
      </c>
      <c r="F181" t="s">
        <v>26</v>
      </c>
      <c r="G181" t="s">
        <v>109</v>
      </c>
      <c r="H181" t="s">
        <v>38</v>
      </c>
      <c r="I181" s="2">
        <v>2961</v>
      </c>
      <c r="J181" t="s">
        <v>51</v>
      </c>
      <c r="K181" t="s">
        <v>72</v>
      </c>
      <c r="L181" t="s">
        <v>61</v>
      </c>
      <c r="M181">
        <v>2022</v>
      </c>
      <c r="N181">
        <v>38</v>
      </c>
      <c r="O181" t="s">
        <v>48</v>
      </c>
      <c r="P181" s="2">
        <v>1</v>
      </c>
      <c r="Q181" s="1">
        <v>413.47</v>
      </c>
      <c r="R181" t="s">
        <v>32</v>
      </c>
      <c r="S181" s="1">
        <v>0</v>
      </c>
      <c r="T181" s="1">
        <v>413.47</v>
      </c>
      <c r="U181" s="1">
        <f t="shared" si="2"/>
        <v>413.47</v>
      </c>
      <c r="V181" s="1" t="s">
        <v>112</v>
      </c>
      <c r="W181" t="s">
        <v>33</v>
      </c>
      <c r="X181" t="s">
        <v>50</v>
      </c>
      <c r="Y181" t="s">
        <v>50</v>
      </c>
      <c r="Z181" s="2">
        <v>4</v>
      </c>
      <c r="AA181" s="2">
        <v>3</v>
      </c>
      <c r="AB181" s="1">
        <v>49.62</v>
      </c>
      <c r="AC181" s="1">
        <v>0</v>
      </c>
      <c r="AD181" t="s">
        <v>35</v>
      </c>
    </row>
    <row r="182" spans="1:30" x14ac:dyDescent="0.3">
      <c r="A182" s="2">
        <v>7605</v>
      </c>
      <c r="B182" s="3">
        <v>45498</v>
      </c>
      <c r="C182" s="2">
        <v>1020</v>
      </c>
      <c r="D182" s="2" t="s">
        <v>105</v>
      </c>
      <c r="E182" t="s">
        <v>81</v>
      </c>
      <c r="F182" t="s">
        <v>60</v>
      </c>
      <c r="G182" t="s">
        <v>109</v>
      </c>
      <c r="H182" t="s">
        <v>38</v>
      </c>
      <c r="I182" s="2">
        <v>2711</v>
      </c>
      <c r="J182" t="s">
        <v>80</v>
      </c>
      <c r="K182" t="s">
        <v>72</v>
      </c>
      <c r="L182" t="s">
        <v>41</v>
      </c>
      <c r="M182">
        <v>2022</v>
      </c>
      <c r="N182">
        <v>41</v>
      </c>
      <c r="O182" t="s">
        <v>56</v>
      </c>
      <c r="P182" s="2">
        <v>3</v>
      </c>
      <c r="Q182" s="1">
        <v>498.87</v>
      </c>
      <c r="R182" t="s">
        <v>32</v>
      </c>
      <c r="S182" s="1">
        <v>0</v>
      </c>
      <c r="T182" s="1">
        <v>498.87</v>
      </c>
      <c r="U182" s="1">
        <f t="shared" si="2"/>
        <v>498.87</v>
      </c>
      <c r="V182" s="1" t="s">
        <v>53</v>
      </c>
      <c r="W182" t="s">
        <v>53</v>
      </c>
      <c r="X182" t="s">
        <v>34</v>
      </c>
      <c r="Y182" t="s">
        <v>34</v>
      </c>
      <c r="Z182" s="2">
        <v>11</v>
      </c>
      <c r="AA182" s="2">
        <v>2</v>
      </c>
      <c r="AB182" s="1">
        <v>59.86</v>
      </c>
      <c r="AC182" s="1">
        <v>0</v>
      </c>
      <c r="AD182" t="s">
        <v>69</v>
      </c>
    </row>
    <row r="183" spans="1:30" x14ac:dyDescent="0.3">
      <c r="A183" s="2">
        <v>7606</v>
      </c>
      <c r="B183" s="3">
        <v>45783</v>
      </c>
      <c r="C183" s="2">
        <v>1093</v>
      </c>
      <c r="D183" s="2" t="s">
        <v>90</v>
      </c>
      <c r="E183" t="s">
        <v>90</v>
      </c>
      <c r="F183" t="s">
        <v>73</v>
      </c>
      <c r="G183" t="s">
        <v>55</v>
      </c>
      <c r="H183" t="s">
        <v>55</v>
      </c>
      <c r="I183" s="2">
        <v>2624</v>
      </c>
      <c r="J183" t="s">
        <v>71</v>
      </c>
      <c r="K183" t="s">
        <v>29</v>
      </c>
      <c r="L183" t="s">
        <v>61</v>
      </c>
      <c r="M183">
        <v>2023</v>
      </c>
      <c r="N183">
        <v>42</v>
      </c>
      <c r="O183" t="s">
        <v>66</v>
      </c>
      <c r="P183" s="2">
        <v>2</v>
      </c>
      <c r="Q183" s="1">
        <v>631.24</v>
      </c>
      <c r="R183" t="s">
        <v>42</v>
      </c>
      <c r="S183" s="1">
        <v>63.12</v>
      </c>
      <c r="T183" s="1">
        <v>568.12</v>
      </c>
      <c r="U183" s="1">
        <f t="shared" si="2"/>
        <v>568.12</v>
      </c>
      <c r="V183" s="1" t="s">
        <v>113</v>
      </c>
      <c r="W183" t="s">
        <v>57</v>
      </c>
      <c r="X183" t="s">
        <v>50</v>
      </c>
      <c r="Y183" t="s">
        <v>50</v>
      </c>
      <c r="Z183" s="2">
        <v>8</v>
      </c>
      <c r="AA183" s="2">
        <v>3</v>
      </c>
      <c r="AB183" s="1">
        <v>75.75</v>
      </c>
      <c r="AC183" s="1">
        <v>31.56</v>
      </c>
      <c r="AD183" t="s">
        <v>69</v>
      </c>
    </row>
    <row r="184" spans="1:30" x14ac:dyDescent="0.3">
      <c r="A184" s="2">
        <v>7607</v>
      </c>
      <c r="B184" s="3">
        <v>45702</v>
      </c>
      <c r="C184" s="2">
        <v>1035</v>
      </c>
      <c r="D184" s="2" t="s">
        <v>91</v>
      </c>
      <c r="E184" t="s">
        <v>91</v>
      </c>
      <c r="F184" t="s">
        <v>26</v>
      </c>
      <c r="G184" t="s">
        <v>27</v>
      </c>
      <c r="H184" t="s">
        <v>27</v>
      </c>
      <c r="I184" s="2">
        <v>2078</v>
      </c>
      <c r="J184" t="s">
        <v>28</v>
      </c>
      <c r="K184" t="s">
        <v>40</v>
      </c>
      <c r="L184" t="s">
        <v>30</v>
      </c>
      <c r="M184">
        <v>2022</v>
      </c>
      <c r="N184">
        <v>37</v>
      </c>
      <c r="O184" t="s">
        <v>48</v>
      </c>
      <c r="P184" s="2">
        <v>4</v>
      </c>
      <c r="Q184" s="1">
        <v>389.48</v>
      </c>
      <c r="R184" t="s">
        <v>42</v>
      </c>
      <c r="S184" s="1">
        <v>38.950000000000003</v>
      </c>
      <c r="T184" s="1">
        <v>3.5053E+16</v>
      </c>
      <c r="U184" s="1">
        <f t="shared" si="2"/>
        <v>350.53000000000003</v>
      </c>
      <c r="V184" s="1" t="s">
        <v>113</v>
      </c>
      <c r="W184" t="s">
        <v>57</v>
      </c>
      <c r="X184" t="s">
        <v>34</v>
      </c>
      <c r="Y184" t="s">
        <v>34</v>
      </c>
      <c r="Z184" s="2">
        <v>5</v>
      </c>
      <c r="AA184" s="2">
        <v>5</v>
      </c>
      <c r="AB184" s="1">
        <v>46.74</v>
      </c>
      <c r="AC184" s="1">
        <v>19.47</v>
      </c>
      <c r="AD184" t="s">
        <v>58</v>
      </c>
    </row>
    <row r="185" spans="1:30" x14ac:dyDescent="0.3">
      <c r="A185" s="2">
        <v>7608</v>
      </c>
      <c r="B185" s="3">
        <v>45669</v>
      </c>
      <c r="C185" s="2">
        <v>1053</v>
      </c>
      <c r="D185" s="2" t="s">
        <v>100</v>
      </c>
      <c r="E185" t="s">
        <v>25</v>
      </c>
      <c r="F185" t="s">
        <v>73</v>
      </c>
      <c r="G185" t="s">
        <v>55</v>
      </c>
      <c r="H185" t="s">
        <v>55</v>
      </c>
      <c r="I185" s="2">
        <v>2560</v>
      </c>
      <c r="J185" t="s">
        <v>71</v>
      </c>
      <c r="K185" t="s">
        <v>78</v>
      </c>
      <c r="L185" t="s">
        <v>41</v>
      </c>
      <c r="M185">
        <v>2022</v>
      </c>
      <c r="N185">
        <v>40</v>
      </c>
      <c r="O185" t="s">
        <v>66</v>
      </c>
      <c r="P185" s="2">
        <v>5</v>
      </c>
      <c r="Q185" s="1">
        <v>412.36</v>
      </c>
      <c r="R185" t="s">
        <v>42</v>
      </c>
      <c r="S185" s="1">
        <v>41.24</v>
      </c>
      <c r="T185" s="1">
        <v>371.12</v>
      </c>
      <c r="U185" s="1">
        <f t="shared" si="2"/>
        <v>371.12</v>
      </c>
      <c r="V185" s="1" t="s">
        <v>113</v>
      </c>
      <c r="W185" t="s">
        <v>57</v>
      </c>
      <c r="X185" t="s">
        <v>50</v>
      </c>
      <c r="Y185" t="s">
        <v>50</v>
      </c>
      <c r="Z185" s="2">
        <v>1</v>
      </c>
      <c r="AA185" s="2">
        <v>4</v>
      </c>
      <c r="AB185" s="1">
        <v>49.48</v>
      </c>
      <c r="AC185" s="1">
        <v>20.62</v>
      </c>
      <c r="AD185" t="s">
        <v>35</v>
      </c>
    </row>
    <row r="186" spans="1:30" x14ac:dyDescent="0.3">
      <c r="A186" s="2">
        <v>7609</v>
      </c>
      <c r="B186" s="3">
        <v>45701</v>
      </c>
      <c r="C186" s="2">
        <v>1045</v>
      </c>
      <c r="D186" s="2" t="s">
        <v>105</v>
      </c>
      <c r="E186" t="s">
        <v>81</v>
      </c>
      <c r="F186" t="s">
        <v>45</v>
      </c>
      <c r="G186" t="s">
        <v>109</v>
      </c>
      <c r="H186" t="s">
        <v>38</v>
      </c>
      <c r="I186" s="2">
        <v>2543</v>
      </c>
      <c r="J186" t="s">
        <v>39</v>
      </c>
      <c r="K186" t="s">
        <v>47</v>
      </c>
      <c r="L186" t="s">
        <v>30</v>
      </c>
      <c r="M186">
        <v>2024</v>
      </c>
      <c r="N186">
        <v>37</v>
      </c>
      <c r="O186" t="s">
        <v>48</v>
      </c>
      <c r="P186" s="2">
        <v>3</v>
      </c>
      <c r="Q186" s="1">
        <v>465.05</v>
      </c>
      <c r="R186" t="s">
        <v>32</v>
      </c>
      <c r="S186" s="1">
        <v>0</v>
      </c>
      <c r="T186" s="1">
        <v>465.05</v>
      </c>
      <c r="U186" s="1">
        <f t="shared" si="2"/>
        <v>465.05</v>
      </c>
      <c r="V186" s="1" t="s">
        <v>112</v>
      </c>
      <c r="W186" t="s">
        <v>33</v>
      </c>
      <c r="X186" t="s">
        <v>115</v>
      </c>
      <c r="Y186" t="s">
        <v>43</v>
      </c>
      <c r="Z186" s="2">
        <v>3</v>
      </c>
      <c r="AA186" s="2">
        <v>3</v>
      </c>
      <c r="AB186" s="1">
        <v>55.81</v>
      </c>
      <c r="AC186" s="1">
        <v>0</v>
      </c>
      <c r="AD186" t="s">
        <v>69</v>
      </c>
    </row>
    <row r="187" spans="1:30" x14ac:dyDescent="0.3">
      <c r="A187" s="2">
        <v>7610</v>
      </c>
      <c r="B187" s="3">
        <v>45458</v>
      </c>
      <c r="C187" s="2">
        <v>1072</v>
      </c>
      <c r="D187" s="2" t="s">
        <v>70</v>
      </c>
      <c r="E187" t="s">
        <v>70</v>
      </c>
      <c r="F187" t="s">
        <v>60</v>
      </c>
      <c r="G187" t="s">
        <v>55</v>
      </c>
      <c r="H187" t="s">
        <v>55</v>
      </c>
      <c r="I187" s="2">
        <v>2473</v>
      </c>
      <c r="J187" t="s">
        <v>80</v>
      </c>
      <c r="K187" t="s">
        <v>47</v>
      </c>
      <c r="L187" t="s">
        <v>30</v>
      </c>
      <c r="M187">
        <v>2022</v>
      </c>
      <c r="N187">
        <v>42</v>
      </c>
      <c r="O187" t="s">
        <v>48</v>
      </c>
      <c r="P187" s="2">
        <v>3</v>
      </c>
      <c r="Q187" s="1">
        <v>703.53</v>
      </c>
      <c r="R187" t="s">
        <v>32</v>
      </c>
      <c r="S187" s="1">
        <v>0</v>
      </c>
      <c r="T187" s="1">
        <v>703.53</v>
      </c>
      <c r="U187" s="1">
        <f t="shared" si="2"/>
        <v>703.53</v>
      </c>
      <c r="V187" s="1" t="s">
        <v>112</v>
      </c>
      <c r="W187" t="s">
        <v>33</v>
      </c>
      <c r="X187" t="s">
        <v>115</v>
      </c>
      <c r="Y187" t="s">
        <v>43</v>
      </c>
      <c r="Z187" s="2">
        <v>9</v>
      </c>
      <c r="AA187" s="2">
        <v>3</v>
      </c>
      <c r="AB187" s="1">
        <v>84.42</v>
      </c>
      <c r="AC187" s="1">
        <v>0</v>
      </c>
      <c r="AD187" t="s">
        <v>58</v>
      </c>
    </row>
    <row r="188" spans="1:30" x14ac:dyDescent="0.3">
      <c r="A188" s="2">
        <v>7611</v>
      </c>
      <c r="B188" s="3">
        <v>45487</v>
      </c>
      <c r="C188" s="2">
        <v>1031</v>
      </c>
      <c r="D188" s="2" t="s">
        <v>94</v>
      </c>
      <c r="E188" t="s">
        <v>94</v>
      </c>
      <c r="F188" t="s">
        <v>37</v>
      </c>
      <c r="G188" t="s">
        <v>55</v>
      </c>
      <c r="H188" t="s">
        <v>55</v>
      </c>
      <c r="I188" s="2">
        <v>2435</v>
      </c>
      <c r="J188" t="s">
        <v>51</v>
      </c>
      <c r="K188" t="s">
        <v>72</v>
      </c>
      <c r="L188" t="s">
        <v>30</v>
      </c>
      <c r="M188">
        <v>2024</v>
      </c>
      <c r="N188">
        <v>38</v>
      </c>
      <c r="O188" t="s">
        <v>48</v>
      </c>
      <c r="P188" s="2">
        <v>1</v>
      </c>
      <c r="Q188" s="1">
        <v>793.79</v>
      </c>
      <c r="R188" t="s">
        <v>42</v>
      </c>
      <c r="S188" s="1">
        <v>79.38</v>
      </c>
      <c r="T188" s="1">
        <v>714.41</v>
      </c>
      <c r="U188" s="1">
        <f t="shared" si="2"/>
        <v>714.41</v>
      </c>
      <c r="V188" s="1" t="s">
        <v>49</v>
      </c>
      <c r="W188" t="s">
        <v>49</v>
      </c>
      <c r="X188" t="s">
        <v>34</v>
      </c>
      <c r="Y188" t="s">
        <v>34</v>
      </c>
      <c r="Z188" s="2">
        <v>8</v>
      </c>
      <c r="AA188" s="2">
        <v>5</v>
      </c>
      <c r="AB188" s="1">
        <v>95.25</v>
      </c>
      <c r="AC188" s="1">
        <v>39.69</v>
      </c>
      <c r="AD188" t="s">
        <v>35</v>
      </c>
    </row>
    <row r="189" spans="1:30" x14ac:dyDescent="0.3">
      <c r="A189" s="2">
        <v>7612</v>
      </c>
      <c r="B189" s="3">
        <v>45492</v>
      </c>
      <c r="C189" s="2">
        <v>1095</v>
      </c>
      <c r="D189" s="2" t="s">
        <v>70</v>
      </c>
      <c r="E189" t="s">
        <v>70</v>
      </c>
      <c r="F189" t="s">
        <v>26</v>
      </c>
      <c r="G189" t="s">
        <v>27</v>
      </c>
      <c r="H189" t="s">
        <v>27</v>
      </c>
      <c r="I189" s="2">
        <v>2226</v>
      </c>
      <c r="J189" t="s">
        <v>63</v>
      </c>
      <c r="K189" t="s">
        <v>78</v>
      </c>
      <c r="L189" t="s">
        <v>41</v>
      </c>
      <c r="M189">
        <v>2024</v>
      </c>
      <c r="N189">
        <v>37</v>
      </c>
      <c r="O189" t="s">
        <v>75</v>
      </c>
      <c r="P189" s="2">
        <v>2</v>
      </c>
      <c r="Q189" s="1">
        <v>365.8</v>
      </c>
      <c r="R189" t="s">
        <v>42</v>
      </c>
      <c r="S189" s="1">
        <v>36.58</v>
      </c>
      <c r="T189" s="1">
        <v>329.22</v>
      </c>
      <c r="U189" s="1">
        <f t="shared" si="2"/>
        <v>329.22</v>
      </c>
      <c r="V189" s="1" t="s">
        <v>53</v>
      </c>
      <c r="W189" t="s">
        <v>53</v>
      </c>
      <c r="X189" t="s">
        <v>115</v>
      </c>
      <c r="Y189" t="s">
        <v>43</v>
      </c>
      <c r="Z189" s="2">
        <v>13</v>
      </c>
      <c r="AA189" s="2">
        <v>3</v>
      </c>
      <c r="AB189" s="1">
        <v>43.9</v>
      </c>
      <c r="AC189" s="1">
        <v>18.29</v>
      </c>
      <c r="AD189" t="s">
        <v>58</v>
      </c>
    </row>
    <row r="190" spans="1:30" x14ac:dyDescent="0.3">
      <c r="A190" s="2">
        <v>7613</v>
      </c>
      <c r="B190" s="3">
        <v>45575</v>
      </c>
      <c r="C190" s="2">
        <v>1029</v>
      </c>
      <c r="D190" s="2" t="s">
        <v>65</v>
      </c>
      <c r="E190" t="s">
        <v>65</v>
      </c>
      <c r="F190" t="s">
        <v>26</v>
      </c>
      <c r="G190" t="s">
        <v>27</v>
      </c>
      <c r="H190" t="s">
        <v>27</v>
      </c>
      <c r="I190" s="2">
        <v>2824</v>
      </c>
      <c r="J190" t="s">
        <v>46</v>
      </c>
      <c r="K190" t="s">
        <v>78</v>
      </c>
      <c r="L190" t="s">
        <v>61</v>
      </c>
      <c r="M190">
        <v>2023</v>
      </c>
      <c r="N190">
        <v>38</v>
      </c>
      <c r="O190" t="s">
        <v>75</v>
      </c>
      <c r="P190" s="2">
        <v>5</v>
      </c>
      <c r="Q190" s="1">
        <v>501.96</v>
      </c>
      <c r="R190" t="s">
        <v>32</v>
      </c>
      <c r="S190" s="1">
        <v>0</v>
      </c>
      <c r="T190" s="1">
        <v>501.96</v>
      </c>
      <c r="U190" s="1">
        <f t="shared" si="2"/>
        <v>501.96</v>
      </c>
      <c r="V190" s="1" t="s">
        <v>113</v>
      </c>
      <c r="W190" t="s">
        <v>57</v>
      </c>
      <c r="X190" t="s">
        <v>34</v>
      </c>
      <c r="Y190" t="s">
        <v>34</v>
      </c>
      <c r="Z190" s="2">
        <v>1</v>
      </c>
      <c r="AA190" s="2">
        <v>2</v>
      </c>
      <c r="AB190" s="1">
        <v>60.24</v>
      </c>
      <c r="AC190" s="1">
        <v>0</v>
      </c>
      <c r="AD190" t="s">
        <v>35</v>
      </c>
    </row>
    <row r="191" spans="1:30" x14ac:dyDescent="0.3">
      <c r="A191" s="2">
        <v>7614</v>
      </c>
      <c r="B191" s="3">
        <v>45651</v>
      </c>
      <c r="C191" s="2">
        <v>1056</v>
      </c>
      <c r="D191" s="2" t="s">
        <v>67</v>
      </c>
      <c r="E191" t="s">
        <v>67</v>
      </c>
      <c r="F191" t="s">
        <v>73</v>
      </c>
      <c r="G191" t="s">
        <v>55</v>
      </c>
      <c r="H191" t="s">
        <v>55</v>
      </c>
      <c r="I191" s="2">
        <v>2883</v>
      </c>
      <c r="J191" t="s">
        <v>39</v>
      </c>
      <c r="K191" t="s">
        <v>64</v>
      </c>
      <c r="L191" t="s">
        <v>30</v>
      </c>
      <c r="M191">
        <v>2024</v>
      </c>
      <c r="N191">
        <v>40</v>
      </c>
      <c r="O191" t="s">
        <v>66</v>
      </c>
      <c r="P191" s="2">
        <v>4</v>
      </c>
      <c r="Q191" s="1">
        <v>785.61</v>
      </c>
      <c r="R191" t="s">
        <v>42</v>
      </c>
      <c r="S191" s="1">
        <v>78.56</v>
      </c>
      <c r="T191" s="1">
        <v>707.05</v>
      </c>
      <c r="U191" s="1">
        <f t="shared" si="2"/>
        <v>707.05</v>
      </c>
      <c r="V191" s="1" t="s">
        <v>113</v>
      </c>
      <c r="W191" t="s">
        <v>57</v>
      </c>
      <c r="X191" t="s">
        <v>115</v>
      </c>
      <c r="Y191" t="s">
        <v>43</v>
      </c>
      <c r="Z191" s="2">
        <v>15</v>
      </c>
      <c r="AA191" s="2">
        <v>2</v>
      </c>
      <c r="AB191" s="1">
        <v>94.27</v>
      </c>
      <c r="AC191" s="1">
        <v>39.28</v>
      </c>
      <c r="AD191" t="s">
        <v>69</v>
      </c>
    </row>
    <row r="192" spans="1:30" x14ac:dyDescent="0.3">
      <c r="A192" s="2">
        <v>7615</v>
      </c>
      <c r="B192" s="3">
        <v>45505</v>
      </c>
      <c r="C192" s="2">
        <v>1003</v>
      </c>
      <c r="D192" s="2" t="s">
        <v>59</v>
      </c>
      <c r="E192" t="s">
        <v>59</v>
      </c>
      <c r="F192" t="s">
        <v>60</v>
      </c>
      <c r="G192" t="s">
        <v>27</v>
      </c>
      <c r="H192" t="s">
        <v>27</v>
      </c>
      <c r="I192" s="2">
        <v>2834</v>
      </c>
      <c r="J192" t="s">
        <v>46</v>
      </c>
      <c r="K192" t="s">
        <v>72</v>
      </c>
      <c r="L192" t="s">
        <v>61</v>
      </c>
      <c r="M192">
        <v>2023</v>
      </c>
      <c r="N192">
        <v>41</v>
      </c>
      <c r="O192" t="s">
        <v>75</v>
      </c>
      <c r="P192" s="2">
        <v>5</v>
      </c>
      <c r="Q192" s="1">
        <v>663.08</v>
      </c>
      <c r="R192" t="s">
        <v>42</v>
      </c>
      <c r="S192" s="1">
        <v>66.31</v>
      </c>
      <c r="T192" s="1">
        <v>596.77</v>
      </c>
      <c r="U192" s="1">
        <f t="shared" si="2"/>
        <v>596.77</v>
      </c>
      <c r="V192" s="1" t="s">
        <v>49</v>
      </c>
      <c r="W192" t="s">
        <v>49</v>
      </c>
      <c r="X192" t="s">
        <v>115</v>
      </c>
      <c r="Y192" t="s">
        <v>43</v>
      </c>
      <c r="Z192" s="2">
        <v>10</v>
      </c>
      <c r="AA192" s="2">
        <v>4</v>
      </c>
      <c r="AB192" s="1">
        <v>79.569999999999993</v>
      </c>
      <c r="AC192" s="1">
        <v>33.15</v>
      </c>
      <c r="AD192" t="s">
        <v>35</v>
      </c>
    </row>
    <row r="193" spans="1:30" x14ac:dyDescent="0.3">
      <c r="A193" s="2">
        <v>7616</v>
      </c>
      <c r="B193" s="3">
        <v>45439</v>
      </c>
      <c r="C193" s="2">
        <v>1095</v>
      </c>
      <c r="D193" s="2" t="s">
        <v>83</v>
      </c>
      <c r="E193" t="s">
        <v>83</v>
      </c>
      <c r="F193" t="s">
        <v>73</v>
      </c>
      <c r="G193" t="s">
        <v>27</v>
      </c>
      <c r="H193" t="s">
        <v>27</v>
      </c>
      <c r="I193" s="2">
        <v>2535</v>
      </c>
      <c r="J193" t="s">
        <v>46</v>
      </c>
      <c r="K193" t="s">
        <v>47</v>
      </c>
      <c r="L193" t="s">
        <v>30</v>
      </c>
      <c r="M193">
        <v>2024</v>
      </c>
      <c r="N193">
        <v>40</v>
      </c>
      <c r="O193" t="s">
        <v>56</v>
      </c>
      <c r="P193" s="2">
        <v>3</v>
      </c>
      <c r="Q193" s="1">
        <v>351.08</v>
      </c>
      <c r="R193" t="s">
        <v>42</v>
      </c>
      <c r="S193" s="1">
        <v>35.11</v>
      </c>
      <c r="T193" s="1">
        <v>3.15969999999999E+16</v>
      </c>
      <c r="U193" s="1">
        <f t="shared" si="2"/>
        <v>315.96999999999997</v>
      </c>
      <c r="V193" s="1" t="s">
        <v>113</v>
      </c>
      <c r="W193" t="s">
        <v>57</v>
      </c>
      <c r="X193" t="s">
        <v>34</v>
      </c>
      <c r="Y193" t="s">
        <v>34</v>
      </c>
      <c r="Z193" s="2">
        <v>10</v>
      </c>
      <c r="AA193" s="2">
        <v>5</v>
      </c>
      <c r="AB193" s="1">
        <v>42.13</v>
      </c>
      <c r="AC193" s="1">
        <v>17.55</v>
      </c>
      <c r="AD193" t="s">
        <v>58</v>
      </c>
    </row>
    <row r="194" spans="1:30" x14ac:dyDescent="0.3">
      <c r="A194" s="2">
        <v>7617</v>
      </c>
      <c r="B194" s="3">
        <v>45708</v>
      </c>
      <c r="C194" s="2">
        <v>1089</v>
      </c>
      <c r="D194" s="2" t="s">
        <v>104</v>
      </c>
      <c r="E194" t="s">
        <v>76</v>
      </c>
      <c r="F194" t="s">
        <v>37</v>
      </c>
      <c r="G194" t="s">
        <v>109</v>
      </c>
      <c r="H194" t="s">
        <v>38</v>
      </c>
      <c r="I194" s="2">
        <v>2931</v>
      </c>
      <c r="J194" t="s">
        <v>28</v>
      </c>
      <c r="K194" t="s">
        <v>64</v>
      </c>
      <c r="L194" t="s">
        <v>41</v>
      </c>
      <c r="M194">
        <v>2022</v>
      </c>
      <c r="N194">
        <v>40</v>
      </c>
      <c r="O194" t="s">
        <v>66</v>
      </c>
      <c r="P194" s="2">
        <v>5</v>
      </c>
      <c r="Q194" s="1">
        <v>787.78</v>
      </c>
      <c r="R194" t="s">
        <v>32</v>
      </c>
      <c r="S194" s="1">
        <v>0</v>
      </c>
      <c r="T194" s="1">
        <v>787.78</v>
      </c>
      <c r="U194" s="1">
        <f t="shared" si="2"/>
        <v>787.78</v>
      </c>
      <c r="V194" s="1" t="s">
        <v>53</v>
      </c>
      <c r="W194" t="s">
        <v>53</v>
      </c>
      <c r="X194" t="s">
        <v>50</v>
      </c>
      <c r="Y194" t="s">
        <v>50</v>
      </c>
      <c r="Z194" s="2">
        <v>14</v>
      </c>
      <c r="AA194" s="2">
        <v>3</v>
      </c>
      <c r="AB194" s="1">
        <v>94.53</v>
      </c>
      <c r="AC194" s="1">
        <v>0</v>
      </c>
      <c r="AD194" t="s">
        <v>69</v>
      </c>
    </row>
    <row r="195" spans="1:30" x14ac:dyDescent="0.3">
      <c r="A195" s="2">
        <v>7618</v>
      </c>
      <c r="B195" s="3">
        <v>45511</v>
      </c>
      <c r="C195" s="2">
        <v>1066</v>
      </c>
      <c r="D195" s="2" t="s">
        <v>106</v>
      </c>
      <c r="E195" t="s">
        <v>97</v>
      </c>
      <c r="F195" t="s">
        <v>37</v>
      </c>
      <c r="G195" t="s">
        <v>55</v>
      </c>
      <c r="H195" t="s">
        <v>55</v>
      </c>
      <c r="I195" s="2">
        <v>2663</v>
      </c>
      <c r="J195" t="s">
        <v>28</v>
      </c>
      <c r="K195" t="s">
        <v>64</v>
      </c>
      <c r="L195" t="s">
        <v>41</v>
      </c>
      <c r="M195">
        <v>2022</v>
      </c>
      <c r="N195">
        <v>40</v>
      </c>
      <c r="O195" t="s">
        <v>48</v>
      </c>
      <c r="P195" s="2">
        <v>1</v>
      </c>
      <c r="Q195" s="1">
        <v>664.09</v>
      </c>
      <c r="R195" t="s">
        <v>32</v>
      </c>
      <c r="S195" s="1">
        <v>0</v>
      </c>
      <c r="T195" s="1">
        <v>664.09</v>
      </c>
      <c r="U195" s="1">
        <f t="shared" si="2"/>
        <v>664.09</v>
      </c>
      <c r="V195" s="1" t="s">
        <v>49</v>
      </c>
      <c r="W195" t="s">
        <v>49</v>
      </c>
      <c r="X195" t="s">
        <v>50</v>
      </c>
      <c r="Y195" t="s">
        <v>50</v>
      </c>
      <c r="Z195" s="2">
        <v>6</v>
      </c>
      <c r="AA195" s="2">
        <v>3</v>
      </c>
      <c r="AB195" s="1">
        <v>79.69</v>
      </c>
      <c r="AC195" s="1">
        <v>0</v>
      </c>
      <c r="AD195" t="s">
        <v>69</v>
      </c>
    </row>
    <row r="196" spans="1:30" x14ac:dyDescent="0.3">
      <c r="A196" s="2">
        <v>7619</v>
      </c>
      <c r="B196" s="3">
        <v>45486</v>
      </c>
      <c r="C196" s="2">
        <v>1044</v>
      </c>
      <c r="D196" s="2" t="s">
        <v>88</v>
      </c>
      <c r="E196" t="s">
        <v>88</v>
      </c>
      <c r="F196" t="s">
        <v>60</v>
      </c>
      <c r="G196" t="s">
        <v>109</v>
      </c>
      <c r="H196" t="s">
        <v>38</v>
      </c>
      <c r="I196" s="2">
        <v>2121</v>
      </c>
      <c r="J196" t="s">
        <v>71</v>
      </c>
      <c r="K196" t="s">
        <v>29</v>
      </c>
      <c r="L196" t="s">
        <v>41</v>
      </c>
      <c r="M196">
        <v>2022</v>
      </c>
      <c r="N196">
        <v>39</v>
      </c>
      <c r="O196" t="s">
        <v>75</v>
      </c>
      <c r="P196" s="2">
        <v>1</v>
      </c>
      <c r="Q196" s="1">
        <v>420.9</v>
      </c>
      <c r="R196" t="s">
        <v>32</v>
      </c>
      <c r="S196" s="1">
        <v>0</v>
      </c>
      <c r="T196" s="1">
        <v>420.9</v>
      </c>
      <c r="U196" s="1">
        <f t="shared" ref="U196:U259" si="3">Q196-S196</f>
        <v>420.9</v>
      </c>
      <c r="V196" s="1" t="s">
        <v>53</v>
      </c>
      <c r="W196" t="s">
        <v>53</v>
      </c>
      <c r="X196" t="s">
        <v>50</v>
      </c>
      <c r="Y196" t="s">
        <v>50</v>
      </c>
      <c r="Z196" s="2">
        <v>9</v>
      </c>
      <c r="AA196" s="2">
        <v>2</v>
      </c>
      <c r="AB196" s="1">
        <v>50.51</v>
      </c>
      <c r="AC196" s="1">
        <v>0</v>
      </c>
      <c r="AD196" t="s">
        <v>58</v>
      </c>
    </row>
    <row r="197" spans="1:30" x14ac:dyDescent="0.3">
      <c r="A197" s="2">
        <v>7620</v>
      </c>
      <c r="B197" s="3">
        <v>45761</v>
      </c>
      <c r="C197" s="2">
        <v>1100</v>
      </c>
      <c r="D197" s="2" t="s">
        <v>100</v>
      </c>
      <c r="E197" t="s">
        <v>25</v>
      </c>
      <c r="F197" t="s">
        <v>45</v>
      </c>
      <c r="G197" t="s">
        <v>27</v>
      </c>
      <c r="H197" t="s">
        <v>27</v>
      </c>
      <c r="I197" s="2">
        <v>2817</v>
      </c>
      <c r="J197" t="s">
        <v>71</v>
      </c>
      <c r="K197" t="s">
        <v>68</v>
      </c>
      <c r="L197" t="s">
        <v>61</v>
      </c>
      <c r="M197">
        <v>2022</v>
      </c>
      <c r="N197">
        <v>38</v>
      </c>
      <c r="O197" t="s">
        <v>75</v>
      </c>
      <c r="P197" s="2">
        <v>3</v>
      </c>
      <c r="Q197" s="1">
        <v>616.32000000000005</v>
      </c>
      <c r="R197" t="s">
        <v>32</v>
      </c>
      <c r="S197" s="1">
        <v>0</v>
      </c>
      <c r="T197" s="1">
        <v>616.32000000000005</v>
      </c>
      <c r="U197" s="1">
        <f t="shared" si="3"/>
        <v>616.32000000000005</v>
      </c>
      <c r="V197" s="1" t="s">
        <v>113</v>
      </c>
      <c r="W197" t="s">
        <v>57</v>
      </c>
      <c r="X197" t="s">
        <v>34</v>
      </c>
      <c r="Y197" t="s">
        <v>34</v>
      </c>
      <c r="Z197" s="2">
        <v>6</v>
      </c>
      <c r="AA197" s="2">
        <v>4</v>
      </c>
      <c r="AB197" s="1">
        <v>73.959999999999994</v>
      </c>
      <c r="AC197" s="1">
        <v>0</v>
      </c>
      <c r="AD197" t="s">
        <v>35</v>
      </c>
    </row>
    <row r="198" spans="1:30" x14ac:dyDescent="0.3">
      <c r="A198" s="2">
        <v>7621</v>
      </c>
      <c r="B198" s="3">
        <v>45500</v>
      </c>
      <c r="C198" s="2">
        <v>1054</v>
      </c>
      <c r="D198" s="2" t="s">
        <v>77</v>
      </c>
      <c r="E198" t="s">
        <v>77</v>
      </c>
      <c r="F198" t="s">
        <v>37</v>
      </c>
      <c r="G198" t="s">
        <v>109</v>
      </c>
      <c r="H198" t="s">
        <v>38</v>
      </c>
      <c r="I198" s="2">
        <v>2204</v>
      </c>
      <c r="J198" t="s">
        <v>71</v>
      </c>
      <c r="K198" t="s">
        <v>40</v>
      </c>
      <c r="L198" t="s">
        <v>61</v>
      </c>
      <c r="M198">
        <v>2023</v>
      </c>
      <c r="N198">
        <v>37</v>
      </c>
      <c r="O198" t="s">
        <v>31</v>
      </c>
      <c r="P198" s="2">
        <v>3</v>
      </c>
      <c r="Q198" s="1">
        <v>304.92</v>
      </c>
      <c r="R198" t="s">
        <v>32</v>
      </c>
      <c r="S198" s="1">
        <v>0</v>
      </c>
      <c r="T198" s="1">
        <v>304.92</v>
      </c>
      <c r="U198" s="1">
        <f t="shared" si="3"/>
        <v>304.92</v>
      </c>
      <c r="V198" s="1" t="s">
        <v>113</v>
      </c>
      <c r="W198" t="s">
        <v>57</v>
      </c>
      <c r="X198" t="s">
        <v>34</v>
      </c>
      <c r="Y198" t="s">
        <v>34</v>
      </c>
      <c r="Z198" s="2">
        <v>12</v>
      </c>
      <c r="AA198" s="2">
        <v>3</v>
      </c>
      <c r="AB198" s="1">
        <v>36.590000000000003</v>
      </c>
      <c r="AC198" s="1">
        <v>0</v>
      </c>
      <c r="AD198" t="s">
        <v>69</v>
      </c>
    </row>
    <row r="199" spans="1:30" x14ac:dyDescent="0.3">
      <c r="A199" s="2">
        <v>7622</v>
      </c>
      <c r="B199" s="3">
        <v>45705</v>
      </c>
      <c r="C199" s="2">
        <v>1095</v>
      </c>
      <c r="D199" s="2" t="s">
        <v>65</v>
      </c>
      <c r="E199" t="s">
        <v>65</v>
      </c>
      <c r="F199" t="s">
        <v>37</v>
      </c>
      <c r="G199" t="s">
        <v>109</v>
      </c>
      <c r="H199" t="s">
        <v>38</v>
      </c>
      <c r="I199" s="2">
        <v>2986</v>
      </c>
      <c r="J199" t="s">
        <v>80</v>
      </c>
      <c r="K199" t="s">
        <v>40</v>
      </c>
      <c r="L199" t="s">
        <v>61</v>
      </c>
      <c r="M199">
        <v>2024</v>
      </c>
      <c r="N199">
        <v>42</v>
      </c>
      <c r="O199" t="s">
        <v>48</v>
      </c>
      <c r="P199" s="2">
        <v>5</v>
      </c>
      <c r="Q199" s="1">
        <v>638.19000000000005</v>
      </c>
      <c r="R199" t="s">
        <v>42</v>
      </c>
      <c r="S199" s="1">
        <v>63.82</v>
      </c>
      <c r="T199" s="1">
        <v>574.37</v>
      </c>
      <c r="U199" s="1">
        <f t="shared" si="3"/>
        <v>574.37</v>
      </c>
      <c r="V199" s="1" t="s">
        <v>53</v>
      </c>
      <c r="W199" t="s">
        <v>53</v>
      </c>
      <c r="X199" t="s">
        <v>50</v>
      </c>
      <c r="Y199" t="s">
        <v>50</v>
      </c>
      <c r="Z199" s="2">
        <v>10</v>
      </c>
      <c r="AA199" s="2">
        <v>4</v>
      </c>
      <c r="AB199" s="1">
        <v>76.58</v>
      </c>
      <c r="AC199" s="1">
        <v>31.91</v>
      </c>
      <c r="AD199" t="s">
        <v>35</v>
      </c>
    </row>
    <row r="200" spans="1:30" x14ac:dyDescent="0.3">
      <c r="A200" s="2">
        <v>7623</v>
      </c>
      <c r="B200" s="3">
        <v>45485</v>
      </c>
      <c r="C200" s="2">
        <v>1020</v>
      </c>
      <c r="D200" s="2" t="s">
        <v>95</v>
      </c>
      <c r="E200" t="s">
        <v>95</v>
      </c>
      <c r="F200" t="s">
        <v>45</v>
      </c>
      <c r="G200" t="s">
        <v>55</v>
      </c>
      <c r="H200" t="s">
        <v>55</v>
      </c>
      <c r="I200" s="2">
        <v>2972</v>
      </c>
      <c r="J200" t="s">
        <v>46</v>
      </c>
      <c r="K200" t="s">
        <v>29</v>
      </c>
      <c r="L200" t="s">
        <v>61</v>
      </c>
      <c r="M200">
        <v>2023</v>
      </c>
      <c r="N200">
        <v>40</v>
      </c>
      <c r="O200" t="s">
        <v>56</v>
      </c>
      <c r="P200" s="2">
        <v>3</v>
      </c>
      <c r="Q200" s="1">
        <v>510.19</v>
      </c>
      <c r="R200" t="s">
        <v>42</v>
      </c>
      <c r="S200" s="1">
        <v>51.02</v>
      </c>
      <c r="T200" s="1">
        <v>459.17</v>
      </c>
      <c r="U200" s="1">
        <f t="shared" si="3"/>
        <v>459.17</v>
      </c>
      <c r="V200" s="1" t="s">
        <v>112</v>
      </c>
      <c r="W200" t="s">
        <v>33</v>
      </c>
      <c r="X200" t="s">
        <v>50</v>
      </c>
      <c r="Y200" t="s">
        <v>50</v>
      </c>
      <c r="Z200" s="2">
        <v>1</v>
      </c>
      <c r="AA200" s="2">
        <v>3</v>
      </c>
      <c r="AB200" s="1">
        <v>61.22</v>
      </c>
      <c r="AC200" s="1">
        <v>25.51</v>
      </c>
      <c r="AD200" t="s">
        <v>69</v>
      </c>
    </row>
    <row r="201" spans="1:30" x14ac:dyDescent="0.3">
      <c r="A201" s="2">
        <v>7624</v>
      </c>
      <c r="B201" s="3">
        <v>45488</v>
      </c>
      <c r="C201" s="2">
        <v>1090</v>
      </c>
      <c r="D201" s="2" t="s">
        <v>96</v>
      </c>
      <c r="E201" t="s">
        <v>96</v>
      </c>
      <c r="F201" t="s">
        <v>73</v>
      </c>
      <c r="G201" t="s">
        <v>55</v>
      </c>
      <c r="H201" t="s">
        <v>55</v>
      </c>
      <c r="I201" s="2">
        <v>2979</v>
      </c>
      <c r="J201" t="s">
        <v>51</v>
      </c>
      <c r="K201" t="s">
        <v>52</v>
      </c>
      <c r="L201" t="s">
        <v>41</v>
      </c>
      <c r="M201">
        <v>2023</v>
      </c>
      <c r="N201">
        <v>40</v>
      </c>
      <c r="O201" t="s">
        <v>31</v>
      </c>
      <c r="P201" s="2">
        <v>5</v>
      </c>
      <c r="Q201" s="1">
        <v>543.88</v>
      </c>
      <c r="R201" t="s">
        <v>42</v>
      </c>
      <c r="S201" s="1">
        <v>54.39</v>
      </c>
      <c r="T201" s="1">
        <v>489.49</v>
      </c>
      <c r="U201" s="1">
        <f t="shared" si="3"/>
        <v>489.49</v>
      </c>
      <c r="V201" s="1" t="s">
        <v>113</v>
      </c>
      <c r="W201" t="s">
        <v>57</v>
      </c>
      <c r="X201" t="s">
        <v>50</v>
      </c>
      <c r="Y201" t="s">
        <v>50</v>
      </c>
      <c r="Z201" s="2">
        <v>7</v>
      </c>
      <c r="AA201" s="2">
        <v>1</v>
      </c>
      <c r="AB201" s="1">
        <v>65.27</v>
      </c>
      <c r="AC201" s="1">
        <v>27.19</v>
      </c>
      <c r="AD201" t="s">
        <v>58</v>
      </c>
    </row>
    <row r="202" spans="1:30" x14ac:dyDescent="0.3">
      <c r="A202" s="2">
        <v>7625</v>
      </c>
      <c r="B202" s="3">
        <v>45598</v>
      </c>
      <c r="C202" s="2">
        <v>1046</v>
      </c>
      <c r="D202" s="2" t="s">
        <v>36</v>
      </c>
      <c r="E202" t="s">
        <v>36</v>
      </c>
      <c r="F202" t="s">
        <v>37</v>
      </c>
      <c r="G202" t="s">
        <v>109</v>
      </c>
      <c r="H202" t="s">
        <v>38</v>
      </c>
      <c r="I202" s="2">
        <v>2618</v>
      </c>
      <c r="J202" t="s">
        <v>46</v>
      </c>
      <c r="K202" t="s">
        <v>68</v>
      </c>
      <c r="L202" t="s">
        <v>30</v>
      </c>
      <c r="M202">
        <v>2023</v>
      </c>
      <c r="N202">
        <v>37</v>
      </c>
      <c r="O202" t="s">
        <v>48</v>
      </c>
      <c r="P202" s="2">
        <v>3</v>
      </c>
      <c r="Q202" s="1">
        <v>627.55999999999995</v>
      </c>
      <c r="R202" t="s">
        <v>32</v>
      </c>
      <c r="S202" s="1">
        <v>0</v>
      </c>
      <c r="T202" s="1">
        <v>627.55999999999995</v>
      </c>
      <c r="U202" s="1">
        <f t="shared" si="3"/>
        <v>627.55999999999995</v>
      </c>
      <c r="V202" s="1" t="s">
        <v>113</v>
      </c>
      <c r="W202" t="s">
        <v>57</v>
      </c>
      <c r="X202" t="s">
        <v>50</v>
      </c>
      <c r="Y202" t="s">
        <v>50</v>
      </c>
      <c r="Z202" s="2">
        <v>12</v>
      </c>
      <c r="AA202" s="2">
        <v>2</v>
      </c>
      <c r="AB202" s="1">
        <v>75.31</v>
      </c>
      <c r="AC202" s="1">
        <v>0</v>
      </c>
      <c r="AD202" t="s">
        <v>35</v>
      </c>
    </row>
    <row r="203" spans="1:30" x14ac:dyDescent="0.3">
      <c r="A203" s="2">
        <v>7626</v>
      </c>
      <c r="B203" s="3">
        <v>45788</v>
      </c>
      <c r="C203" s="2">
        <v>1004</v>
      </c>
      <c r="D203" s="2" t="s">
        <v>93</v>
      </c>
      <c r="E203" t="s">
        <v>93</v>
      </c>
      <c r="F203" t="s">
        <v>73</v>
      </c>
      <c r="G203" t="s">
        <v>27</v>
      </c>
      <c r="H203" t="s">
        <v>27</v>
      </c>
      <c r="I203" s="2">
        <v>2965</v>
      </c>
      <c r="J203" t="s">
        <v>71</v>
      </c>
      <c r="K203" t="s">
        <v>52</v>
      </c>
      <c r="L203" t="s">
        <v>61</v>
      </c>
      <c r="M203">
        <v>2024</v>
      </c>
      <c r="N203">
        <v>38</v>
      </c>
      <c r="O203" t="s">
        <v>48</v>
      </c>
      <c r="P203" s="2">
        <v>3</v>
      </c>
      <c r="Q203" s="1">
        <v>469.94</v>
      </c>
      <c r="R203" t="s">
        <v>32</v>
      </c>
      <c r="S203" s="1">
        <v>0</v>
      </c>
      <c r="T203" s="1">
        <v>469.94</v>
      </c>
      <c r="U203" s="1">
        <f t="shared" si="3"/>
        <v>469.94</v>
      </c>
      <c r="V203" s="1" t="s">
        <v>112</v>
      </c>
      <c r="W203" t="s">
        <v>33</v>
      </c>
      <c r="X203" t="s">
        <v>50</v>
      </c>
      <c r="Y203" t="s">
        <v>50</v>
      </c>
      <c r="Z203" s="2">
        <v>3</v>
      </c>
      <c r="AA203" s="2">
        <v>2</v>
      </c>
      <c r="AB203" s="1">
        <v>56.39</v>
      </c>
      <c r="AC203" s="1">
        <v>0</v>
      </c>
      <c r="AD203" t="s">
        <v>58</v>
      </c>
    </row>
    <row r="204" spans="1:30" x14ac:dyDescent="0.3">
      <c r="A204" s="2">
        <v>7627</v>
      </c>
      <c r="B204" s="3">
        <v>45573</v>
      </c>
      <c r="C204" s="2">
        <v>1019</v>
      </c>
      <c r="D204" s="2" t="s">
        <v>88</v>
      </c>
      <c r="E204" t="s">
        <v>88</v>
      </c>
      <c r="F204" t="s">
        <v>26</v>
      </c>
      <c r="G204" t="s">
        <v>109</v>
      </c>
      <c r="H204" t="s">
        <v>38</v>
      </c>
      <c r="I204" s="2">
        <v>2781</v>
      </c>
      <c r="J204" t="s">
        <v>28</v>
      </c>
      <c r="K204" t="s">
        <v>68</v>
      </c>
      <c r="L204" t="s">
        <v>30</v>
      </c>
      <c r="M204">
        <v>2024</v>
      </c>
      <c r="N204">
        <v>42</v>
      </c>
      <c r="O204" t="s">
        <v>56</v>
      </c>
      <c r="P204" s="2">
        <v>3</v>
      </c>
      <c r="Q204" s="1">
        <v>639.25</v>
      </c>
      <c r="R204" t="s">
        <v>42</v>
      </c>
      <c r="S204" s="1">
        <v>63.93</v>
      </c>
      <c r="T204" s="1">
        <v>575.32000000000005</v>
      </c>
      <c r="U204" s="1">
        <f t="shared" si="3"/>
        <v>575.32000000000005</v>
      </c>
      <c r="V204" s="1" t="s">
        <v>113</v>
      </c>
      <c r="W204" t="s">
        <v>57</v>
      </c>
      <c r="X204" t="s">
        <v>50</v>
      </c>
      <c r="Y204" t="s">
        <v>50</v>
      </c>
      <c r="Z204" s="2">
        <v>3</v>
      </c>
      <c r="AA204" s="2">
        <v>4</v>
      </c>
      <c r="AB204" s="1">
        <v>76.709999999999994</v>
      </c>
      <c r="AC204" s="1">
        <v>31.96</v>
      </c>
      <c r="AD204" t="s">
        <v>58</v>
      </c>
    </row>
    <row r="205" spans="1:30" x14ac:dyDescent="0.3">
      <c r="A205" s="2">
        <v>7628</v>
      </c>
      <c r="B205" s="3">
        <v>45635</v>
      </c>
      <c r="C205" s="2">
        <v>1095</v>
      </c>
      <c r="D205" s="2" t="s">
        <v>101</v>
      </c>
      <c r="E205" t="s">
        <v>44</v>
      </c>
      <c r="F205" t="s">
        <v>26</v>
      </c>
      <c r="G205" t="s">
        <v>109</v>
      </c>
      <c r="H205" t="s">
        <v>38</v>
      </c>
      <c r="I205" s="2">
        <v>2174</v>
      </c>
      <c r="J205" t="s">
        <v>63</v>
      </c>
      <c r="K205" t="s">
        <v>64</v>
      </c>
      <c r="L205" t="s">
        <v>61</v>
      </c>
      <c r="M205">
        <v>2024</v>
      </c>
      <c r="N205">
        <v>39</v>
      </c>
      <c r="O205" t="s">
        <v>75</v>
      </c>
      <c r="P205" s="2">
        <v>5</v>
      </c>
      <c r="Q205" s="1">
        <v>594.5</v>
      </c>
      <c r="R205" t="s">
        <v>42</v>
      </c>
      <c r="S205" s="1">
        <v>59.45</v>
      </c>
      <c r="T205" s="1">
        <v>535.04999999999995</v>
      </c>
      <c r="U205" s="1">
        <f t="shared" si="3"/>
        <v>535.04999999999995</v>
      </c>
      <c r="V205" s="1" t="s">
        <v>53</v>
      </c>
      <c r="W205" t="s">
        <v>53</v>
      </c>
      <c r="X205" t="s">
        <v>115</v>
      </c>
      <c r="Y205" t="s">
        <v>43</v>
      </c>
      <c r="Z205" s="2">
        <v>4</v>
      </c>
      <c r="AA205" s="2">
        <v>4</v>
      </c>
      <c r="AB205" s="1">
        <v>71.34</v>
      </c>
      <c r="AC205" s="1">
        <v>29.73</v>
      </c>
      <c r="AD205" t="s">
        <v>35</v>
      </c>
    </row>
    <row r="206" spans="1:30" x14ac:dyDescent="0.3">
      <c r="A206" s="2">
        <v>7629</v>
      </c>
      <c r="B206" s="3">
        <v>45466</v>
      </c>
      <c r="C206" s="2">
        <v>1071</v>
      </c>
      <c r="D206" s="2" t="s">
        <v>104</v>
      </c>
      <c r="E206" t="s">
        <v>76</v>
      </c>
      <c r="F206" t="s">
        <v>37</v>
      </c>
      <c r="G206" t="s">
        <v>109</v>
      </c>
      <c r="H206" t="s">
        <v>38</v>
      </c>
      <c r="I206" s="2">
        <v>2316</v>
      </c>
      <c r="J206" t="s">
        <v>63</v>
      </c>
      <c r="K206" t="s">
        <v>52</v>
      </c>
      <c r="L206" t="s">
        <v>61</v>
      </c>
      <c r="M206">
        <v>2023</v>
      </c>
      <c r="N206">
        <v>37</v>
      </c>
      <c r="O206" t="s">
        <v>56</v>
      </c>
      <c r="P206" s="2">
        <v>5</v>
      </c>
      <c r="Q206" s="1">
        <v>716.7</v>
      </c>
      <c r="R206" t="s">
        <v>32</v>
      </c>
      <c r="S206" s="1">
        <v>0</v>
      </c>
      <c r="T206" s="1">
        <v>716.7</v>
      </c>
      <c r="U206" s="1">
        <f t="shared" si="3"/>
        <v>716.7</v>
      </c>
      <c r="V206" s="1" t="s">
        <v>112</v>
      </c>
      <c r="W206" t="s">
        <v>33</v>
      </c>
      <c r="X206" t="s">
        <v>34</v>
      </c>
      <c r="Y206" t="s">
        <v>34</v>
      </c>
      <c r="Z206" s="2">
        <v>4</v>
      </c>
      <c r="AA206" s="2">
        <v>4</v>
      </c>
      <c r="AB206" s="1">
        <v>86</v>
      </c>
      <c r="AC206" s="1">
        <v>0</v>
      </c>
      <c r="AD206" t="s">
        <v>69</v>
      </c>
    </row>
    <row r="207" spans="1:30" x14ac:dyDescent="0.3">
      <c r="A207" s="2">
        <v>7630</v>
      </c>
      <c r="B207" s="3">
        <v>45540</v>
      </c>
      <c r="C207" s="2">
        <v>1026</v>
      </c>
      <c r="D207" s="2" t="s">
        <v>82</v>
      </c>
      <c r="E207" t="s">
        <v>82</v>
      </c>
      <c r="F207" t="s">
        <v>37</v>
      </c>
      <c r="G207" t="s">
        <v>55</v>
      </c>
      <c r="H207" t="s">
        <v>55</v>
      </c>
      <c r="I207" s="2">
        <v>2268</v>
      </c>
      <c r="J207" t="s">
        <v>71</v>
      </c>
      <c r="K207" t="s">
        <v>29</v>
      </c>
      <c r="L207" t="s">
        <v>41</v>
      </c>
      <c r="M207">
        <v>2024</v>
      </c>
      <c r="N207">
        <v>39</v>
      </c>
      <c r="O207" t="s">
        <v>31</v>
      </c>
      <c r="P207" s="2">
        <v>4</v>
      </c>
      <c r="Q207" s="1">
        <v>452.83</v>
      </c>
      <c r="R207" t="s">
        <v>32</v>
      </c>
      <c r="S207" s="1">
        <v>0</v>
      </c>
      <c r="T207" s="1">
        <v>452.83</v>
      </c>
      <c r="U207" s="1">
        <f t="shared" si="3"/>
        <v>452.83</v>
      </c>
      <c r="V207" s="1" t="s">
        <v>49</v>
      </c>
      <c r="W207" t="s">
        <v>49</v>
      </c>
      <c r="X207" t="s">
        <v>34</v>
      </c>
      <c r="Y207" t="s">
        <v>34</v>
      </c>
      <c r="Z207" s="2">
        <v>12</v>
      </c>
      <c r="AA207" s="2">
        <v>4</v>
      </c>
      <c r="AB207" s="1">
        <v>54.34</v>
      </c>
      <c r="AC207" s="1">
        <v>0</v>
      </c>
      <c r="AD207" t="s">
        <v>69</v>
      </c>
    </row>
    <row r="208" spans="1:30" x14ac:dyDescent="0.3">
      <c r="A208" s="2">
        <v>7631</v>
      </c>
      <c r="B208" s="3">
        <v>45776</v>
      </c>
      <c r="C208" s="2">
        <v>1068</v>
      </c>
      <c r="D208" s="2" t="s">
        <v>105</v>
      </c>
      <c r="E208" t="s">
        <v>81</v>
      </c>
      <c r="F208" t="s">
        <v>37</v>
      </c>
      <c r="G208" t="s">
        <v>55</v>
      </c>
      <c r="H208" t="s">
        <v>55</v>
      </c>
      <c r="I208" s="2">
        <v>2450</v>
      </c>
      <c r="J208" t="s">
        <v>46</v>
      </c>
      <c r="K208" t="s">
        <v>52</v>
      </c>
      <c r="L208" t="s">
        <v>61</v>
      </c>
      <c r="M208">
        <v>2022</v>
      </c>
      <c r="N208">
        <v>39</v>
      </c>
      <c r="O208" t="s">
        <v>75</v>
      </c>
      <c r="P208" s="2">
        <v>2</v>
      </c>
      <c r="Q208" s="1">
        <v>758.43</v>
      </c>
      <c r="R208" t="s">
        <v>42</v>
      </c>
      <c r="S208" s="1">
        <v>75.84</v>
      </c>
      <c r="T208" s="1">
        <v>6825899999999990</v>
      </c>
      <c r="U208" s="1">
        <f t="shared" si="3"/>
        <v>682.58999999999992</v>
      </c>
      <c r="V208" s="1" t="s">
        <v>53</v>
      </c>
      <c r="W208" t="s">
        <v>53</v>
      </c>
      <c r="X208" t="s">
        <v>115</v>
      </c>
      <c r="Y208" t="s">
        <v>43</v>
      </c>
      <c r="Z208" s="2">
        <v>9</v>
      </c>
      <c r="AA208" s="2">
        <v>4</v>
      </c>
      <c r="AB208" s="1">
        <v>91.01</v>
      </c>
      <c r="AC208" s="1">
        <v>37.92</v>
      </c>
      <c r="AD208" t="s">
        <v>69</v>
      </c>
    </row>
    <row r="209" spans="1:30" x14ac:dyDescent="0.3">
      <c r="A209" s="2">
        <v>7632</v>
      </c>
      <c r="B209" s="3">
        <v>45751</v>
      </c>
      <c r="C209" s="2">
        <v>1043</v>
      </c>
      <c r="D209" s="2" t="s">
        <v>95</v>
      </c>
      <c r="E209" t="s">
        <v>95</v>
      </c>
      <c r="F209" t="s">
        <v>45</v>
      </c>
      <c r="G209" t="s">
        <v>55</v>
      </c>
      <c r="H209" t="s">
        <v>55</v>
      </c>
      <c r="I209" s="2">
        <v>2118</v>
      </c>
      <c r="J209" t="s">
        <v>71</v>
      </c>
      <c r="K209" t="s">
        <v>78</v>
      </c>
      <c r="L209" t="s">
        <v>30</v>
      </c>
      <c r="M209">
        <v>2022</v>
      </c>
      <c r="N209">
        <v>38</v>
      </c>
      <c r="O209" t="s">
        <v>66</v>
      </c>
      <c r="P209" s="2">
        <v>1</v>
      </c>
      <c r="Q209" s="1">
        <v>347.17</v>
      </c>
      <c r="R209" t="s">
        <v>32</v>
      </c>
      <c r="S209" s="1">
        <v>0</v>
      </c>
      <c r="T209" s="1">
        <v>347.17</v>
      </c>
      <c r="U209" s="1">
        <f t="shared" si="3"/>
        <v>347.17</v>
      </c>
      <c r="V209" s="1" t="s">
        <v>112</v>
      </c>
      <c r="W209" t="s">
        <v>33</v>
      </c>
      <c r="X209" t="s">
        <v>34</v>
      </c>
      <c r="Y209" t="s">
        <v>34</v>
      </c>
      <c r="Z209" s="2">
        <v>1</v>
      </c>
      <c r="AA209" s="2">
        <v>5</v>
      </c>
      <c r="AB209" s="1">
        <v>41.66</v>
      </c>
      <c r="AC209" s="1">
        <v>0</v>
      </c>
      <c r="AD209" t="s">
        <v>69</v>
      </c>
    </row>
    <row r="210" spans="1:30" x14ac:dyDescent="0.3">
      <c r="A210" s="2">
        <v>7633</v>
      </c>
      <c r="B210" s="3">
        <v>45667</v>
      </c>
      <c r="C210" s="2">
        <v>1045</v>
      </c>
      <c r="D210" s="2" t="s">
        <v>59</v>
      </c>
      <c r="E210" t="s">
        <v>59</v>
      </c>
      <c r="F210" t="s">
        <v>37</v>
      </c>
      <c r="G210" t="s">
        <v>109</v>
      </c>
      <c r="H210" t="s">
        <v>38</v>
      </c>
      <c r="I210" s="2">
        <v>2171</v>
      </c>
      <c r="J210" t="s">
        <v>63</v>
      </c>
      <c r="K210" t="s">
        <v>78</v>
      </c>
      <c r="L210" t="s">
        <v>41</v>
      </c>
      <c r="M210">
        <v>2022</v>
      </c>
      <c r="N210">
        <v>38</v>
      </c>
      <c r="O210" t="s">
        <v>48</v>
      </c>
      <c r="P210" s="2">
        <v>2</v>
      </c>
      <c r="Q210" s="1">
        <v>535.87</v>
      </c>
      <c r="R210" t="s">
        <v>42</v>
      </c>
      <c r="S210" s="1">
        <v>53.59</v>
      </c>
      <c r="T210" s="1">
        <v>482.28</v>
      </c>
      <c r="U210" s="1">
        <f t="shared" si="3"/>
        <v>482.28</v>
      </c>
      <c r="V210" s="1" t="s">
        <v>53</v>
      </c>
      <c r="W210" t="s">
        <v>53</v>
      </c>
      <c r="X210" t="s">
        <v>115</v>
      </c>
      <c r="Y210" t="s">
        <v>43</v>
      </c>
      <c r="Z210" s="2">
        <v>6</v>
      </c>
      <c r="AA210" s="2">
        <v>1</v>
      </c>
      <c r="AB210" s="1">
        <v>64.3</v>
      </c>
      <c r="AC210" s="1">
        <v>26.79</v>
      </c>
      <c r="AD210" t="s">
        <v>35</v>
      </c>
    </row>
    <row r="211" spans="1:30" x14ac:dyDescent="0.3">
      <c r="A211" s="2">
        <v>7634</v>
      </c>
      <c r="B211" s="3">
        <v>45462</v>
      </c>
      <c r="C211" s="2">
        <v>1100</v>
      </c>
      <c r="D211" s="2" t="s">
        <v>59</v>
      </c>
      <c r="E211" t="s">
        <v>59</v>
      </c>
      <c r="F211" t="s">
        <v>73</v>
      </c>
      <c r="G211" t="s">
        <v>27</v>
      </c>
      <c r="H211" t="s">
        <v>27</v>
      </c>
      <c r="I211" s="2">
        <v>2288</v>
      </c>
      <c r="J211" t="s">
        <v>39</v>
      </c>
      <c r="K211" t="s">
        <v>52</v>
      </c>
      <c r="L211" t="s">
        <v>61</v>
      </c>
      <c r="M211">
        <v>2022</v>
      </c>
      <c r="N211">
        <v>42</v>
      </c>
      <c r="O211" t="s">
        <v>66</v>
      </c>
      <c r="P211" s="2">
        <v>4</v>
      </c>
      <c r="Q211" s="1">
        <v>633.72</v>
      </c>
      <c r="R211" t="s">
        <v>42</v>
      </c>
      <c r="S211" s="1">
        <v>63.37</v>
      </c>
      <c r="T211" s="1">
        <v>570.35</v>
      </c>
      <c r="U211" s="1">
        <f t="shared" si="3"/>
        <v>570.35</v>
      </c>
      <c r="V211" s="1" t="s">
        <v>113</v>
      </c>
      <c r="W211" t="s">
        <v>57</v>
      </c>
      <c r="X211" t="s">
        <v>50</v>
      </c>
      <c r="Y211" t="s">
        <v>50</v>
      </c>
      <c r="Z211" s="2">
        <v>7</v>
      </c>
      <c r="AA211" s="2">
        <v>5</v>
      </c>
      <c r="AB211" s="1">
        <v>76.05</v>
      </c>
      <c r="AC211" s="1">
        <v>31.69</v>
      </c>
      <c r="AD211" t="s">
        <v>35</v>
      </c>
    </row>
    <row r="212" spans="1:30" x14ac:dyDescent="0.3">
      <c r="A212" s="2">
        <v>7635</v>
      </c>
      <c r="B212" s="3">
        <v>45592</v>
      </c>
      <c r="C212" s="2">
        <v>1036</v>
      </c>
      <c r="D212" s="2" t="s">
        <v>101</v>
      </c>
      <c r="E212" t="s">
        <v>44</v>
      </c>
      <c r="F212" t="s">
        <v>60</v>
      </c>
      <c r="G212" t="s">
        <v>109</v>
      </c>
      <c r="H212" t="s">
        <v>38</v>
      </c>
      <c r="I212" s="2">
        <v>2148</v>
      </c>
      <c r="J212" t="s">
        <v>46</v>
      </c>
      <c r="K212" t="s">
        <v>78</v>
      </c>
      <c r="L212" t="s">
        <v>41</v>
      </c>
      <c r="M212">
        <v>2022</v>
      </c>
      <c r="N212">
        <v>40</v>
      </c>
      <c r="O212" t="s">
        <v>31</v>
      </c>
      <c r="P212" s="2">
        <v>4</v>
      </c>
      <c r="Q212" s="1">
        <v>783.85</v>
      </c>
      <c r="R212" t="s">
        <v>42</v>
      </c>
      <c r="S212" s="1">
        <v>78.39</v>
      </c>
      <c r="T212" s="1">
        <v>705.46</v>
      </c>
      <c r="U212" s="1">
        <f t="shared" si="3"/>
        <v>705.46</v>
      </c>
      <c r="V212" s="1" t="s">
        <v>53</v>
      </c>
      <c r="W212" t="s">
        <v>53</v>
      </c>
      <c r="X212" t="s">
        <v>50</v>
      </c>
      <c r="Y212" t="s">
        <v>50</v>
      </c>
      <c r="Z212" s="2">
        <v>3</v>
      </c>
      <c r="AA212" s="2">
        <v>5</v>
      </c>
      <c r="AB212" s="1">
        <v>94.06</v>
      </c>
      <c r="AC212" s="1">
        <v>39.19</v>
      </c>
      <c r="AD212" t="s">
        <v>35</v>
      </c>
    </row>
    <row r="213" spans="1:30" x14ac:dyDescent="0.3">
      <c r="A213" s="2">
        <v>7636</v>
      </c>
      <c r="B213" s="3">
        <v>45793</v>
      </c>
      <c r="C213" s="2">
        <v>1060</v>
      </c>
      <c r="D213" s="2" t="s">
        <v>104</v>
      </c>
      <c r="E213" t="s">
        <v>76</v>
      </c>
      <c r="F213" t="s">
        <v>60</v>
      </c>
      <c r="G213" t="s">
        <v>109</v>
      </c>
      <c r="H213" t="s">
        <v>38</v>
      </c>
      <c r="I213" s="2">
        <v>2681</v>
      </c>
      <c r="J213" t="s">
        <v>28</v>
      </c>
      <c r="K213" t="s">
        <v>40</v>
      </c>
      <c r="L213" t="s">
        <v>30</v>
      </c>
      <c r="M213">
        <v>2023</v>
      </c>
      <c r="N213">
        <v>37</v>
      </c>
      <c r="O213" t="s">
        <v>66</v>
      </c>
      <c r="P213" s="2">
        <v>3</v>
      </c>
      <c r="Q213" s="1">
        <v>552.65</v>
      </c>
      <c r="R213" t="s">
        <v>32</v>
      </c>
      <c r="S213" s="1">
        <v>0</v>
      </c>
      <c r="T213" s="1">
        <v>552.65</v>
      </c>
      <c r="U213" s="1">
        <f t="shared" si="3"/>
        <v>552.65</v>
      </c>
      <c r="V213" s="1" t="s">
        <v>53</v>
      </c>
      <c r="W213" t="s">
        <v>53</v>
      </c>
      <c r="X213" t="s">
        <v>34</v>
      </c>
      <c r="Y213" t="s">
        <v>34</v>
      </c>
      <c r="Z213" s="2">
        <v>2</v>
      </c>
      <c r="AA213" s="2">
        <v>3</v>
      </c>
      <c r="AB213" s="1">
        <v>66.319999999999993</v>
      </c>
      <c r="AC213" s="1">
        <v>0</v>
      </c>
      <c r="AD213" t="s">
        <v>69</v>
      </c>
    </row>
    <row r="214" spans="1:30" x14ac:dyDescent="0.3">
      <c r="A214" s="2">
        <v>7637</v>
      </c>
      <c r="B214" s="3">
        <v>45641</v>
      </c>
      <c r="C214" s="2">
        <v>1090</v>
      </c>
      <c r="D214" s="2" t="s">
        <v>103</v>
      </c>
      <c r="E214" t="s">
        <v>74</v>
      </c>
      <c r="F214" t="s">
        <v>37</v>
      </c>
      <c r="G214" t="s">
        <v>109</v>
      </c>
      <c r="H214" t="s">
        <v>38</v>
      </c>
      <c r="I214" s="2">
        <v>2196</v>
      </c>
      <c r="J214" t="s">
        <v>46</v>
      </c>
      <c r="K214" t="s">
        <v>52</v>
      </c>
      <c r="L214" t="s">
        <v>41</v>
      </c>
      <c r="M214">
        <v>2024</v>
      </c>
      <c r="N214">
        <v>41</v>
      </c>
      <c r="O214" t="s">
        <v>56</v>
      </c>
      <c r="P214" s="2">
        <v>4</v>
      </c>
      <c r="Q214" s="1">
        <v>611.05999999999995</v>
      </c>
      <c r="R214" t="s">
        <v>32</v>
      </c>
      <c r="S214" s="1">
        <v>0</v>
      </c>
      <c r="T214" s="1">
        <v>611.05999999999995</v>
      </c>
      <c r="U214" s="1">
        <f t="shared" si="3"/>
        <v>611.05999999999995</v>
      </c>
      <c r="V214" s="1" t="s">
        <v>113</v>
      </c>
      <c r="W214" t="s">
        <v>57</v>
      </c>
      <c r="X214" t="s">
        <v>115</v>
      </c>
      <c r="Y214" t="s">
        <v>43</v>
      </c>
      <c r="Z214" s="2">
        <v>12</v>
      </c>
      <c r="AA214" s="2">
        <v>4</v>
      </c>
      <c r="AB214" s="1">
        <v>73.33</v>
      </c>
      <c r="AC214" s="1">
        <v>0</v>
      </c>
      <c r="AD214" t="s">
        <v>35</v>
      </c>
    </row>
    <row r="215" spans="1:30" x14ac:dyDescent="0.3">
      <c r="A215" s="2">
        <v>7638</v>
      </c>
      <c r="B215" s="3">
        <v>45589</v>
      </c>
      <c r="C215" s="2">
        <v>1055</v>
      </c>
      <c r="D215" s="2" t="s">
        <v>93</v>
      </c>
      <c r="E215" t="s">
        <v>93</v>
      </c>
      <c r="F215" t="s">
        <v>26</v>
      </c>
      <c r="G215" t="s">
        <v>55</v>
      </c>
      <c r="H215" t="s">
        <v>55</v>
      </c>
      <c r="I215" s="2">
        <v>2110</v>
      </c>
      <c r="J215" t="s">
        <v>46</v>
      </c>
      <c r="K215" t="s">
        <v>68</v>
      </c>
      <c r="L215" t="s">
        <v>61</v>
      </c>
      <c r="M215">
        <v>2023</v>
      </c>
      <c r="N215">
        <v>41</v>
      </c>
      <c r="O215" t="s">
        <v>48</v>
      </c>
      <c r="P215" s="2">
        <v>2</v>
      </c>
      <c r="Q215" s="1">
        <v>698.86</v>
      </c>
      <c r="R215" t="s">
        <v>42</v>
      </c>
      <c r="S215" s="1">
        <v>69.89</v>
      </c>
      <c r="T215" s="1">
        <v>628.97</v>
      </c>
      <c r="U215" s="1">
        <f t="shared" si="3"/>
        <v>628.97</v>
      </c>
      <c r="V215" s="1" t="s">
        <v>112</v>
      </c>
      <c r="W215" t="s">
        <v>33</v>
      </c>
      <c r="X215" t="s">
        <v>34</v>
      </c>
      <c r="Y215" t="s">
        <v>34</v>
      </c>
      <c r="Z215" s="2">
        <v>9</v>
      </c>
      <c r="AA215" s="2">
        <v>4</v>
      </c>
      <c r="AB215" s="1">
        <v>83.86</v>
      </c>
      <c r="AC215" s="1">
        <v>34.94</v>
      </c>
      <c r="AD215" t="s">
        <v>58</v>
      </c>
    </row>
    <row r="216" spans="1:30" x14ac:dyDescent="0.3">
      <c r="A216" s="2">
        <v>7639</v>
      </c>
      <c r="B216" s="3">
        <v>45691</v>
      </c>
      <c r="C216" s="2">
        <v>1082</v>
      </c>
      <c r="D216" s="2" t="s">
        <v>70</v>
      </c>
      <c r="E216" t="s">
        <v>70</v>
      </c>
      <c r="F216" t="s">
        <v>37</v>
      </c>
      <c r="G216" t="s">
        <v>55</v>
      </c>
      <c r="H216" t="s">
        <v>55</v>
      </c>
      <c r="I216" s="2">
        <v>2192</v>
      </c>
      <c r="J216" t="s">
        <v>46</v>
      </c>
      <c r="K216" t="s">
        <v>68</v>
      </c>
      <c r="L216" t="s">
        <v>41</v>
      </c>
      <c r="M216">
        <v>2022</v>
      </c>
      <c r="N216">
        <v>37</v>
      </c>
      <c r="O216" t="s">
        <v>48</v>
      </c>
      <c r="P216" s="2">
        <v>5</v>
      </c>
      <c r="Q216" s="1">
        <v>614.67999999999995</v>
      </c>
      <c r="R216" t="s">
        <v>32</v>
      </c>
      <c r="S216" s="1">
        <v>0</v>
      </c>
      <c r="T216" s="1">
        <v>614.67999999999995</v>
      </c>
      <c r="U216" s="1">
        <f t="shared" si="3"/>
        <v>614.67999999999995</v>
      </c>
      <c r="V216" s="1" t="s">
        <v>53</v>
      </c>
      <c r="W216" t="s">
        <v>53</v>
      </c>
      <c r="X216" t="s">
        <v>115</v>
      </c>
      <c r="Y216" t="s">
        <v>43</v>
      </c>
      <c r="Z216" s="2">
        <v>1</v>
      </c>
      <c r="AA216" s="2">
        <v>2</v>
      </c>
      <c r="AB216" s="1">
        <v>73.760000000000005</v>
      </c>
      <c r="AC216" s="1">
        <v>0</v>
      </c>
      <c r="AD216" t="s">
        <v>58</v>
      </c>
    </row>
    <row r="217" spans="1:30" x14ac:dyDescent="0.3">
      <c r="A217" s="2">
        <v>7640</v>
      </c>
      <c r="B217" s="3">
        <v>45585</v>
      </c>
      <c r="C217" s="2">
        <v>1031</v>
      </c>
      <c r="D217" s="2" t="s">
        <v>79</v>
      </c>
      <c r="E217" t="s">
        <v>79</v>
      </c>
      <c r="F217" t="s">
        <v>26</v>
      </c>
      <c r="G217" t="s">
        <v>55</v>
      </c>
      <c r="H217" t="s">
        <v>55</v>
      </c>
      <c r="I217" s="2">
        <v>2378</v>
      </c>
      <c r="J217" t="s">
        <v>71</v>
      </c>
      <c r="K217" t="s">
        <v>72</v>
      </c>
      <c r="L217" t="s">
        <v>61</v>
      </c>
      <c r="M217">
        <v>2024</v>
      </c>
      <c r="N217">
        <v>41</v>
      </c>
      <c r="O217" t="s">
        <v>75</v>
      </c>
      <c r="P217" s="2">
        <v>3</v>
      </c>
      <c r="Q217" s="1">
        <v>569.77</v>
      </c>
      <c r="R217" t="s">
        <v>32</v>
      </c>
      <c r="S217" s="1">
        <v>0</v>
      </c>
      <c r="T217" s="1">
        <v>569.77</v>
      </c>
      <c r="U217" s="1">
        <f t="shared" si="3"/>
        <v>569.77</v>
      </c>
      <c r="V217" s="1" t="s">
        <v>49</v>
      </c>
      <c r="W217" t="s">
        <v>49</v>
      </c>
      <c r="X217" t="s">
        <v>115</v>
      </c>
      <c r="Y217" t="s">
        <v>43</v>
      </c>
      <c r="Z217" s="2">
        <v>13</v>
      </c>
      <c r="AA217" s="2">
        <v>4</v>
      </c>
      <c r="AB217" s="1">
        <v>68.37</v>
      </c>
      <c r="AC217" s="1">
        <v>0</v>
      </c>
      <c r="AD217" t="s">
        <v>58</v>
      </c>
    </row>
    <row r="218" spans="1:30" x14ac:dyDescent="0.3">
      <c r="A218" s="2">
        <v>7641</v>
      </c>
      <c r="B218" s="3">
        <v>45456</v>
      </c>
      <c r="C218" s="2">
        <v>1024</v>
      </c>
      <c r="D218" s="2" t="s">
        <v>59</v>
      </c>
      <c r="E218" t="s">
        <v>59</v>
      </c>
      <c r="F218" t="s">
        <v>45</v>
      </c>
      <c r="G218" t="s">
        <v>109</v>
      </c>
      <c r="H218" t="s">
        <v>38</v>
      </c>
      <c r="I218" s="2">
        <v>2088</v>
      </c>
      <c r="J218" t="s">
        <v>71</v>
      </c>
      <c r="K218" t="s">
        <v>47</v>
      </c>
      <c r="L218" t="s">
        <v>41</v>
      </c>
      <c r="M218">
        <v>2023</v>
      </c>
      <c r="N218">
        <v>41</v>
      </c>
      <c r="O218" t="s">
        <v>75</v>
      </c>
      <c r="P218" s="2">
        <v>3</v>
      </c>
      <c r="Q218" s="1">
        <v>363.11</v>
      </c>
      <c r="R218" t="s">
        <v>42</v>
      </c>
      <c r="S218" s="1">
        <v>36.31</v>
      </c>
      <c r="T218" s="1">
        <v>326.8</v>
      </c>
      <c r="U218" s="1">
        <f t="shared" si="3"/>
        <v>326.8</v>
      </c>
      <c r="V218" s="1" t="s">
        <v>112</v>
      </c>
      <c r="W218" t="s">
        <v>33</v>
      </c>
      <c r="X218" t="s">
        <v>115</v>
      </c>
      <c r="Y218" t="s">
        <v>43</v>
      </c>
      <c r="Z218" s="2">
        <v>13</v>
      </c>
      <c r="AA218" s="2">
        <v>5</v>
      </c>
      <c r="AB218" s="1">
        <v>43.57</v>
      </c>
      <c r="AC218" s="1">
        <v>18.16</v>
      </c>
      <c r="AD218" t="s">
        <v>35</v>
      </c>
    </row>
    <row r="219" spans="1:30" x14ac:dyDescent="0.3">
      <c r="A219" s="2">
        <v>7642</v>
      </c>
      <c r="B219" s="3">
        <v>45515</v>
      </c>
      <c r="C219" s="2">
        <v>1002</v>
      </c>
      <c r="D219" s="2" t="s">
        <v>59</v>
      </c>
      <c r="E219" t="s">
        <v>59</v>
      </c>
      <c r="F219" t="s">
        <v>26</v>
      </c>
      <c r="G219" t="s">
        <v>27</v>
      </c>
      <c r="H219" t="s">
        <v>27</v>
      </c>
      <c r="I219" s="2">
        <v>2609</v>
      </c>
      <c r="J219" t="s">
        <v>80</v>
      </c>
      <c r="K219" t="s">
        <v>29</v>
      </c>
      <c r="L219" t="s">
        <v>61</v>
      </c>
      <c r="M219">
        <v>2022</v>
      </c>
      <c r="N219">
        <v>41</v>
      </c>
      <c r="O219" t="s">
        <v>66</v>
      </c>
      <c r="P219" s="2">
        <v>5</v>
      </c>
      <c r="Q219" s="1">
        <v>484.03</v>
      </c>
      <c r="R219" t="s">
        <v>32</v>
      </c>
      <c r="S219" s="1">
        <v>0</v>
      </c>
      <c r="T219" s="1">
        <v>484.03</v>
      </c>
      <c r="U219" s="1">
        <f t="shared" si="3"/>
        <v>484.03</v>
      </c>
      <c r="V219" s="1" t="s">
        <v>112</v>
      </c>
      <c r="W219" t="s">
        <v>33</v>
      </c>
      <c r="X219" t="s">
        <v>34</v>
      </c>
      <c r="Y219" t="s">
        <v>34</v>
      </c>
      <c r="Z219" s="2">
        <v>7</v>
      </c>
      <c r="AA219" s="2">
        <v>2</v>
      </c>
      <c r="AB219" s="1">
        <v>58.08</v>
      </c>
      <c r="AC219" s="1">
        <v>0</v>
      </c>
      <c r="AD219" t="s">
        <v>35</v>
      </c>
    </row>
    <row r="220" spans="1:30" x14ac:dyDescent="0.3">
      <c r="A220" s="2">
        <v>7643</v>
      </c>
      <c r="B220" s="3">
        <v>45646</v>
      </c>
      <c r="C220" s="2">
        <v>1084</v>
      </c>
      <c r="D220" s="2" t="s">
        <v>105</v>
      </c>
      <c r="E220" t="s">
        <v>81</v>
      </c>
      <c r="F220" t="s">
        <v>37</v>
      </c>
      <c r="G220" t="s">
        <v>55</v>
      </c>
      <c r="H220" t="s">
        <v>55</v>
      </c>
      <c r="I220" s="2">
        <v>2586</v>
      </c>
      <c r="J220" t="s">
        <v>51</v>
      </c>
      <c r="K220" t="s">
        <v>72</v>
      </c>
      <c r="L220" t="s">
        <v>41</v>
      </c>
      <c r="M220">
        <v>2023</v>
      </c>
      <c r="N220">
        <v>39</v>
      </c>
      <c r="O220" t="s">
        <v>48</v>
      </c>
      <c r="P220" s="2">
        <v>4</v>
      </c>
      <c r="Q220" s="1">
        <v>626.22</v>
      </c>
      <c r="R220" t="s">
        <v>32</v>
      </c>
      <c r="S220" s="1">
        <v>0</v>
      </c>
      <c r="T220" s="1">
        <v>626.22</v>
      </c>
      <c r="U220" s="1">
        <f t="shared" si="3"/>
        <v>626.22</v>
      </c>
      <c r="V220" s="1" t="s">
        <v>113</v>
      </c>
      <c r="W220" t="s">
        <v>57</v>
      </c>
      <c r="X220" t="s">
        <v>115</v>
      </c>
      <c r="Y220" t="s">
        <v>43</v>
      </c>
      <c r="Z220" s="2">
        <v>2</v>
      </c>
      <c r="AA220" s="2">
        <v>5</v>
      </c>
      <c r="AB220" s="1">
        <v>75.150000000000006</v>
      </c>
      <c r="AC220" s="1">
        <v>0</v>
      </c>
      <c r="AD220" t="s">
        <v>69</v>
      </c>
    </row>
    <row r="221" spans="1:30" x14ac:dyDescent="0.3">
      <c r="A221" s="2">
        <v>7644</v>
      </c>
      <c r="B221" s="3">
        <v>45475</v>
      </c>
      <c r="C221" s="2">
        <v>1002</v>
      </c>
      <c r="D221" s="2" t="s">
        <v>59</v>
      </c>
      <c r="E221" t="s">
        <v>59</v>
      </c>
      <c r="F221" t="s">
        <v>37</v>
      </c>
      <c r="G221" t="s">
        <v>109</v>
      </c>
      <c r="H221" t="s">
        <v>38</v>
      </c>
      <c r="I221" s="2">
        <v>2118</v>
      </c>
      <c r="J221" t="s">
        <v>46</v>
      </c>
      <c r="K221" t="s">
        <v>40</v>
      </c>
      <c r="L221" t="s">
        <v>41</v>
      </c>
      <c r="M221">
        <v>2022</v>
      </c>
      <c r="N221">
        <v>41</v>
      </c>
      <c r="O221" t="s">
        <v>56</v>
      </c>
      <c r="P221" s="2">
        <v>5</v>
      </c>
      <c r="Q221" s="1">
        <v>461.86</v>
      </c>
      <c r="R221" t="s">
        <v>32</v>
      </c>
      <c r="S221" s="1">
        <v>0</v>
      </c>
      <c r="T221" s="1">
        <v>461.86</v>
      </c>
      <c r="U221" s="1">
        <f t="shared" si="3"/>
        <v>461.86</v>
      </c>
      <c r="V221" s="1" t="s">
        <v>53</v>
      </c>
      <c r="W221" t="s">
        <v>53</v>
      </c>
      <c r="X221" t="s">
        <v>50</v>
      </c>
      <c r="Y221" t="s">
        <v>50</v>
      </c>
      <c r="Z221" s="2">
        <v>8</v>
      </c>
      <c r="AA221" s="2">
        <v>4</v>
      </c>
      <c r="AB221" s="1">
        <v>55.42</v>
      </c>
      <c r="AC221" s="1">
        <v>0</v>
      </c>
      <c r="AD221" t="s">
        <v>35</v>
      </c>
    </row>
    <row r="222" spans="1:30" x14ac:dyDescent="0.3">
      <c r="A222" s="2">
        <v>7645</v>
      </c>
      <c r="B222" s="3">
        <v>45512</v>
      </c>
      <c r="C222" s="2">
        <v>1000</v>
      </c>
      <c r="D222" s="2" t="s">
        <v>59</v>
      </c>
      <c r="E222" t="s">
        <v>59</v>
      </c>
      <c r="F222" t="s">
        <v>45</v>
      </c>
      <c r="G222" t="s">
        <v>27</v>
      </c>
      <c r="H222" t="s">
        <v>27</v>
      </c>
      <c r="I222" s="2">
        <v>2582</v>
      </c>
      <c r="J222" t="s">
        <v>80</v>
      </c>
      <c r="K222" t="s">
        <v>52</v>
      </c>
      <c r="L222" t="s">
        <v>30</v>
      </c>
      <c r="M222">
        <v>2023</v>
      </c>
      <c r="N222">
        <v>38</v>
      </c>
      <c r="O222" t="s">
        <v>48</v>
      </c>
      <c r="P222" s="2">
        <v>3</v>
      </c>
      <c r="Q222" s="1">
        <v>766.68</v>
      </c>
      <c r="R222" t="s">
        <v>32</v>
      </c>
      <c r="S222" s="1">
        <v>0</v>
      </c>
      <c r="T222" s="1">
        <v>766.68</v>
      </c>
      <c r="U222" s="1">
        <f t="shared" si="3"/>
        <v>766.68</v>
      </c>
      <c r="V222" s="1" t="s">
        <v>53</v>
      </c>
      <c r="W222" t="s">
        <v>53</v>
      </c>
      <c r="X222" t="s">
        <v>115</v>
      </c>
      <c r="Y222" t="s">
        <v>43</v>
      </c>
      <c r="Z222" s="2">
        <v>10</v>
      </c>
      <c r="AA222" s="2">
        <v>4</v>
      </c>
      <c r="AB222" s="1">
        <v>92</v>
      </c>
      <c r="AC222" s="1">
        <v>0</v>
      </c>
      <c r="AD222" t="s">
        <v>35</v>
      </c>
    </row>
    <row r="223" spans="1:30" x14ac:dyDescent="0.3">
      <c r="A223" s="2">
        <v>7646</v>
      </c>
      <c r="B223" s="3">
        <v>45472</v>
      </c>
      <c r="C223" s="2">
        <v>1038</v>
      </c>
      <c r="D223" s="2" t="s">
        <v>83</v>
      </c>
      <c r="E223" t="s">
        <v>83</v>
      </c>
      <c r="F223" t="s">
        <v>45</v>
      </c>
      <c r="G223" t="s">
        <v>55</v>
      </c>
      <c r="H223" t="s">
        <v>55</v>
      </c>
      <c r="I223" s="2">
        <v>2508</v>
      </c>
      <c r="J223" t="s">
        <v>63</v>
      </c>
      <c r="K223" t="s">
        <v>68</v>
      </c>
      <c r="L223" t="s">
        <v>41</v>
      </c>
      <c r="M223">
        <v>2022</v>
      </c>
      <c r="N223">
        <v>42</v>
      </c>
      <c r="O223" t="s">
        <v>56</v>
      </c>
      <c r="P223" s="2">
        <v>3</v>
      </c>
      <c r="Q223" s="1">
        <v>601.30999999999995</v>
      </c>
      <c r="R223" t="s">
        <v>32</v>
      </c>
      <c r="S223" s="1">
        <v>0</v>
      </c>
      <c r="T223" s="1">
        <v>601.30999999999995</v>
      </c>
      <c r="U223" s="1">
        <f t="shared" si="3"/>
        <v>601.30999999999995</v>
      </c>
      <c r="V223" s="1" t="s">
        <v>112</v>
      </c>
      <c r="W223" t="s">
        <v>33</v>
      </c>
      <c r="X223" t="s">
        <v>34</v>
      </c>
      <c r="Y223" t="s">
        <v>34</v>
      </c>
      <c r="Z223" s="2">
        <v>11</v>
      </c>
      <c r="AA223" s="2">
        <v>5</v>
      </c>
      <c r="AB223" s="1">
        <v>72.16</v>
      </c>
      <c r="AC223" s="1">
        <v>0</v>
      </c>
      <c r="AD223" t="s">
        <v>58</v>
      </c>
    </row>
    <row r="224" spans="1:30" x14ac:dyDescent="0.3">
      <c r="A224" s="2">
        <v>7647</v>
      </c>
      <c r="B224" s="3">
        <v>45492</v>
      </c>
      <c r="C224" s="2">
        <v>1057</v>
      </c>
      <c r="D224" s="2" t="s">
        <v>100</v>
      </c>
      <c r="E224" t="s">
        <v>25</v>
      </c>
      <c r="F224" t="s">
        <v>26</v>
      </c>
      <c r="G224" t="s">
        <v>109</v>
      </c>
      <c r="H224" t="s">
        <v>38</v>
      </c>
      <c r="I224" s="2">
        <v>2877</v>
      </c>
      <c r="J224" t="s">
        <v>39</v>
      </c>
      <c r="K224" t="s">
        <v>64</v>
      </c>
      <c r="L224" t="s">
        <v>30</v>
      </c>
      <c r="M224">
        <v>2022</v>
      </c>
      <c r="N224">
        <v>38</v>
      </c>
      <c r="O224" t="s">
        <v>56</v>
      </c>
      <c r="P224" s="2">
        <v>1</v>
      </c>
      <c r="Q224" s="1">
        <v>711.85</v>
      </c>
      <c r="R224" t="s">
        <v>42</v>
      </c>
      <c r="S224" s="1">
        <v>71.19</v>
      </c>
      <c r="T224" s="1">
        <v>6406600000000000</v>
      </c>
      <c r="U224" s="1">
        <f t="shared" si="3"/>
        <v>640.66000000000008</v>
      </c>
      <c r="V224" s="1" t="s">
        <v>112</v>
      </c>
      <c r="W224" t="s">
        <v>33</v>
      </c>
      <c r="X224" t="s">
        <v>115</v>
      </c>
      <c r="Y224" t="s">
        <v>43</v>
      </c>
      <c r="Z224" s="2">
        <v>3</v>
      </c>
      <c r="AA224" s="2">
        <v>4</v>
      </c>
      <c r="AB224" s="1">
        <v>85.42</v>
      </c>
      <c r="AC224" s="1">
        <v>35.590000000000003</v>
      </c>
      <c r="AD224" t="s">
        <v>35</v>
      </c>
    </row>
    <row r="225" spans="1:30" x14ac:dyDescent="0.3">
      <c r="A225" s="2">
        <v>7648</v>
      </c>
      <c r="B225" s="3">
        <v>45771</v>
      </c>
      <c r="C225" s="2">
        <v>1019</v>
      </c>
      <c r="D225" s="2" t="s">
        <v>103</v>
      </c>
      <c r="E225" t="s">
        <v>74</v>
      </c>
      <c r="F225" t="s">
        <v>37</v>
      </c>
      <c r="G225" t="s">
        <v>109</v>
      </c>
      <c r="H225" t="s">
        <v>38</v>
      </c>
      <c r="I225" s="2">
        <v>2510</v>
      </c>
      <c r="J225" t="s">
        <v>86</v>
      </c>
      <c r="K225" t="s">
        <v>52</v>
      </c>
      <c r="L225" t="s">
        <v>61</v>
      </c>
      <c r="M225">
        <v>2022</v>
      </c>
      <c r="N225">
        <v>38</v>
      </c>
      <c r="O225" t="s">
        <v>56</v>
      </c>
      <c r="P225" s="2">
        <v>1</v>
      </c>
      <c r="Q225" s="1">
        <v>524.19000000000005</v>
      </c>
      <c r="R225" t="s">
        <v>32</v>
      </c>
      <c r="S225" s="1">
        <v>0</v>
      </c>
      <c r="T225" s="1">
        <v>524.19000000000005</v>
      </c>
      <c r="U225" s="1">
        <f t="shared" si="3"/>
        <v>524.19000000000005</v>
      </c>
      <c r="V225" s="1" t="s">
        <v>113</v>
      </c>
      <c r="W225" t="s">
        <v>57</v>
      </c>
      <c r="X225" t="s">
        <v>34</v>
      </c>
      <c r="Y225" t="s">
        <v>34</v>
      </c>
      <c r="Z225" s="2">
        <v>1</v>
      </c>
      <c r="AA225" s="2">
        <v>2</v>
      </c>
      <c r="AB225" s="1">
        <v>62.9</v>
      </c>
      <c r="AC225" s="1">
        <v>0</v>
      </c>
      <c r="AD225" t="s">
        <v>35</v>
      </c>
    </row>
    <row r="226" spans="1:30" x14ac:dyDescent="0.3">
      <c r="A226" s="2">
        <v>7649</v>
      </c>
      <c r="B226" s="3">
        <v>45638</v>
      </c>
      <c r="C226" s="2">
        <v>1064</v>
      </c>
      <c r="D226" s="2" t="s">
        <v>93</v>
      </c>
      <c r="E226" t="s">
        <v>93</v>
      </c>
      <c r="F226" t="s">
        <v>60</v>
      </c>
      <c r="G226" t="s">
        <v>109</v>
      </c>
      <c r="H226" t="s">
        <v>38</v>
      </c>
      <c r="I226" s="2">
        <v>2978</v>
      </c>
      <c r="J226" t="s">
        <v>46</v>
      </c>
      <c r="K226" t="s">
        <v>29</v>
      </c>
      <c r="L226" t="s">
        <v>30</v>
      </c>
      <c r="M226">
        <v>2022</v>
      </c>
      <c r="N226">
        <v>41</v>
      </c>
      <c r="O226" t="s">
        <v>66</v>
      </c>
      <c r="P226" s="2">
        <v>1</v>
      </c>
      <c r="Q226" s="1">
        <v>538.26</v>
      </c>
      <c r="R226" t="s">
        <v>32</v>
      </c>
      <c r="S226" s="1">
        <v>0</v>
      </c>
      <c r="T226" s="1">
        <v>538.26</v>
      </c>
      <c r="U226" s="1">
        <f t="shared" si="3"/>
        <v>538.26</v>
      </c>
      <c r="V226" s="1" t="s">
        <v>49</v>
      </c>
      <c r="W226" t="s">
        <v>49</v>
      </c>
      <c r="X226" t="s">
        <v>115</v>
      </c>
      <c r="Y226" t="s">
        <v>43</v>
      </c>
      <c r="Z226" s="2">
        <v>4</v>
      </c>
      <c r="AA226" s="2">
        <v>2</v>
      </c>
      <c r="AB226" s="1">
        <v>64.59</v>
      </c>
      <c r="AC226" s="1">
        <v>0</v>
      </c>
      <c r="AD226" t="s">
        <v>58</v>
      </c>
    </row>
    <row r="227" spans="1:30" x14ac:dyDescent="0.3">
      <c r="A227" s="2">
        <v>7650</v>
      </c>
      <c r="B227" s="3">
        <v>45688</v>
      </c>
      <c r="C227" s="2">
        <v>1000</v>
      </c>
      <c r="D227" s="2" t="s">
        <v>89</v>
      </c>
      <c r="E227" t="s">
        <v>89</v>
      </c>
      <c r="F227" t="s">
        <v>60</v>
      </c>
      <c r="G227" t="s">
        <v>109</v>
      </c>
      <c r="H227" t="s">
        <v>38</v>
      </c>
      <c r="I227" s="2">
        <v>2908</v>
      </c>
      <c r="J227" t="s">
        <v>71</v>
      </c>
      <c r="K227" t="s">
        <v>40</v>
      </c>
      <c r="L227" t="s">
        <v>30</v>
      </c>
      <c r="M227">
        <v>2023</v>
      </c>
      <c r="N227">
        <v>40</v>
      </c>
      <c r="O227" t="s">
        <v>56</v>
      </c>
      <c r="P227" s="2">
        <v>4</v>
      </c>
      <c r="Q227" s="1">
        <v>747.34</v>
      </c>
      <c r="R227" t="s">
        <v>32</v>
      </c>
      <c r="S227" s="1">
        <v>0</v>
      </c>
      <c r="T227" s="1">
        <v>747.34</v>
      </c>
      <c r="U227" s="1">
        <f t="shared" si="3"/>
        <v>747.34</v>
      </c>
      <c r="V227" s="1" t="s">
        <v>49</v>
      </c>
      <c r="W227" t="s">
        <v>49</v>
      </c>
      <c r="X227" t="s">
        <v>50</v>
      </c>
      <c r="Y227" t="s">
        <v>50</v>
      </c>
      <c r="Z227" s="2">
        <v>11</v>
      </c>
      <c r="AA227" s="2">
        <v>4</v>
      </c>
      <c r="AB227" s="1">
        <v>89.68</v>
      </c>
      <c r="AC227" s="1">
        <v>0</v>
      </c>
      <c r="AD227" t="s">
        <v>58</v>
      </c>
    </row>
    <row r="228" spans="1:30" x14ac:dyDescent="0.3">
      <c r="A228" s="2">
        <v>7651</v>
      </c>
      <c r="B228" s="3">
        <v>45769</v>
      </c>
      <c r="C228" s="2">
        <v>1036</v>
      </c>
      <c r="D228" s="2" t="s">
        <v>98</v>
      </c>
      <c r="E228" t="s">
        <v>98</v>
      </c>
      <c r="F228" t="s">
        <v>26</v>
      </c>
      <c r="G228" t="s">
        <v>55</v>
      </c>
      <c r="H228" t="s">
        <v>55</v>
      </c>
      <c r="I228" s="2">
        <v>2000</v>
      </c>
      <c r="J228" t="s">
        <v>51</v>
      </c>
      <c r="K228" t="s">
        <v>52</v>
      </c>
      <c r="L228" t="s">
        <v>61</v>
      </c>
      <c r="M228">
        <v>2023</v>
      </c>
      <c r="N228">
        <v>39</v>
      </c>
      <c r="O228" t="s">
        <v>48</v>
      </c>
      <c r="P228" s="2">
        <v>1</v>
      </c>
      <c r="Q228" s="1">
        <v>322.75</v>
      </c>
      <c r="R228" t="s">
        <v>32</v>
      </c>
      <c r="S228" s="1">
        <v>0</v>
      </c>
      <c r="T228" s="1">
        <v>322.75</v>
      </c>
      <c r="U228" s="1">
        <f t="shared" si="3"/>
        <v>322.75</v>
      </c>
      <c r="V228" s="1" t="s">
        <v>113</v>
      </c>
      <c r="W228" t="s">
        <v>57</v>
      </c>
      <c r="X228" t="s">
        <v>50</v>
      </c>
      <c r="Y228" t="s">
        <v>50</v>
      </c>
      <c r="Z228" s="2">
        <v>9</v>
      </c>
      <c r="AA228" s="2">
        <v>4</v>
      </c>
      <c r="AB228" s="1">
        <v>38.729999999999997</v>
      </c>
      <c r="AC228" s="1">
        <v>0</v>
      </c>
      <c r="AD228" t="s">
        <v>69</v>
      </c>
    </row>
    <row r="229" spans="1:30" x14ac:dyDescent="0.3">
      <c r="A229" s="2">
        <v>7652</v>
      </c>
      <c r="B229" s="3">
        <v>45633</v>
      </c>
      <c r="C229" s="2">
        <v>1080</v>
      </c>
      <c r="D229" s="2" t="s">
        <v>92</v>
      </c>
      <c r="E229" t="s">
        <v>92</v>
      </c>
      <c r="F229" t="s">
        <v>73</v>
      </c>
      <c r="G229" t="s">
        <v>27</v>
      </c>
      <c r="H229" t="s">
        <v>27</v>
      </c>
      <c r="I229" s="2">
        <v>2721</v>
      </c>
      <c r="J229" t="s">
        <v>71</v>
      </c>
      <c r="K229" t="s">
        <v>64</v>
      </c>
      <c r="L229" t="s">
        <v>30</v>
      </c>
      <c r="M229">
        <v>2022</v>
      </c>
      <c r="N229">
        <v>39</v>
      </c>
      <c r="O229" t="s">
        <v>66</v>
      </c>
      <c r="P229" s="2">
        <v>2</v>
      </c>
      <c r="Q229" s="1">
        <v>571.61</v>
      </c>
      <c r="R229" t="s">
        <v>42</v>
      </c>
      <c r="S229" s="1">
        <v>57.16</v>
      </c>
      <c r="T229" s="1">
        <v>514.45000000000005</v>
      </c>
      <c r="U229" s="1">
        <f t="shared" si="3"/>
        <v>514.45000000000005</v>
      </c>
      <c r="V229" s="1" t="s">
        <v>112</v>
      </c>
      <c r="W229" t="s">
        <v>33</v>
      </c>
      <c r="X229" t="s">
        <v>115</v>
      </c>
      <c r="Y229" t="s">
        <v>43</v>
      </c>
      <c r="Z229" s="2">
        <v>2</v>
      </c>
      <c r="AA229" s="2">
        <v>3</v>
      </c>
      <c r="AB229" s="1">
        <v>68.59</v>
      </c>
      <c r="AC229" s="1">
        <v>28.58</v>
      </c>
      <c r="AD229" t="s">
        <v>35</v>
      </c>
    </row>
    <row r="230" spans="1:30" x14ac:dyDescent="0.3">
      <c r="A230" s="2">
        <v>7653</v>
      </c>
      <c r="B230" s="3">
        <v>45774</v>
      </c>
      <c r="C230" s="2">
        <v>1020</v>
      </c>
      <c r="D230" s="2" t="s">
        <v>36</v>
      </c>
      <c r="E230" t="s">
        <v>36</v>
      </c>
      <c r="F230" t="s">
        <v>45</v>
      </c>
      <c r="G230" t="s">
        <v>55</v>
      </c>
      <c r="H230" t="s">
        <v>55</v>
      </c>
      <c r="I230" s="2">
        <v>2250</v>
      </c>
      <c r="J230" t="s">
        <v>39</v>
      </c>
      <c r="K230" t="s">
        <v>40</v>
      </c>
      <c r="L230" t="s">
        <v>30</v>
      </c>
      <c r="M230">
        <v>2023</v>
      </c>
      <c r="N230">
        <v>42</v>
      </c>
      <c r="O230" t="s">
        <v>56</v>
      </c>
      <c r="P230" s="2">
        <v>1</v>
      </c>
      <c r="Q230" s="1">
        <v>660.01</v>
      </c>
      <c r="R230" t="s">
        <v>42</v>
      </c>
      <c r="S230" s="1">
        <v>66</v>
      </c>
      <c r="T230" s="1">
        <v>594.01</v>
      </c>
      <c r="U230" s="1">
        <f t="shared" si="3"/>
        <v>594.01</v>
      </c>
      <c r="V230" s="1" t="s">
        <v>112</v>
      </c>
      <c r="W230" t="s">
        <v>33</v>
      </c>
      <c r="X230" t="s">
        <v>34</v>
      </c>
      <c r="Y230" t="s">
        <v>34</v>
      </c>
      <c r="Z230" s="2">
        <v>15</v>
      </c>
      <c r="AA230" s="2">
        <v>5</v>
      </c>
      <c r="AB230" s="1">
        <v>79.2</v>
      </c>
      <c r="AC230" s="1">
        <v>33</v>
      </c>
      <c r="AD230" t="s">
        <v>35</v>
      </c>
    </row>
    <row r="231" spans="1:30" x14ac:dyDescent="0.3">
      <c r="A231" s="2">
        <v>7654</v>
      </c>
      <c r="B231" s="3">
        <v>45681</v>
      </c>
      <c r="C231" s="2">
        <v>1059</v>
      </c>
      <c r="D231" s="2" t="s">
        <v>100</v>
      </c>
      <c r="E231" t="s">
        <v>25</v>
      </c>
      <c r="F231" t="s">
        <v>26</v>
      </c>
      <c r="G231" t="s">
        <v>27</v>
      </c>
      <c r="H231" t="s">
        <v>27</v>
      </c>
      <c r="I231" s="2">
        <v>2165</v>
      </c>
      <c r="J231" t="s">
        <v>63</v>
      </c>
      <c r="K231" t="s">
        <v>40</v>
      </c>
      <c r="L231" t="s">
        <v>61</v>
      </c>
      <c r="M231">
        <v>2023</v>
      </c>
      <c r="N231">
        <v>41</v>
      </c>
      <c r="O231" t="s">
        <v>75</v>
      </c>
      <c r="P231" s="2">
        <v>3</v>
      </c>
      <c r="Q231" s="1">
        <v>332.22</v>
      </c>
      <c r="R231" t="s">
        <v>42</v>
      </c>
      <c r="S231" s="1">
        <v>33.22</v>
      </c>
      <c r="T231" s="1">
        <v>299</v>
      </c>
      <c r="U231" s="1">
        <f t="shared" si="3"/>
        <v>299</v>
      </c>
      <c r="V231" s="1" t="s">
        <v>113</v>
      </c>
      <c r="W231" t="s">
        <v>57</v>
      </c>
      <c r="X231" t="s">
        <v>50</v>
      </c>
      <c r="Y231" t="s">
        <v>50</v>
      </c>
      <c r="Z231" s="2">
        <v>8</v>
      </c>
      <c r="AA231" s="2">
        <v>1</v>
      </c>
      <c r="AB231" s="1">
        <v>39.869999999999997</v>
      </c>
      <c r="AC231" s="1">
        <v>16.61</v>
      </c>
      <c r="AD231" t="s">
        <v>35</v>
      </c>
    </row>
    <row r="232" spans="1:30" x14ac:dyDescent="0.3">
      <c r="A232" s="2">
        <v>7655</v>
      </c>
      <c r="B232" s="3">
        <v>45727</v>
      </c>
      <c r="C232" s="2">
        <v>1073</v>
      </c>
      <c r="D232" s="2" t="s">
        <v>84</v>
      </c>
      <c r="E232" t="s">
        <v>84</v>
      </c>
      <c r="F232" t="s">
        <v>60</v>
      </c>
      <c r="G232" t="s">
        <v>27</v>
      </c>
      <c r="H232" t="s">
        <v>27</v>
      </c>
      <c r="I232" s="2">
        <v>2566</v>
      </c>
      <c r="J232" t="s">
        <v>46</v>
      </c>
      <c r="K232" t="s">
        <v>78</v>
      </c>
      <c r="L232" t="s">
        <v>30</v>
      </c>
      <c r="M232">
        <v>2024</v>
      </c>
      <c r="N232">
        <v>41</v>
      </c>
      <c r="O232" t="s">
        <v>56</v>
      </c>
      <c r="P232" s="2">
        <v>4</v>
      </c>
      <c r="Q232" s="1">
        <v>762.66</v>
      </c>
      <c r="R232" t="s">
        <v>42</v>
      </c>
      <c r="S232" s="1">
        <v>76.27</v>
      </c>
      <c r="T232" s="1">
        <v>686.39</v>
      </c>
      <c r="U232" s="1">
        <f t="shared" si="3"/>
        <v>686.39</v>
      </c>
      <c r="V232" s="1" t="s">
        <v>49</v>
      </c>
      <c r="W232" t="s">
        <v>49</v>
      </c>
      <c r="X232" t="s">
        <v>115</v>
      </c>
      <c r="Y232" t="s">
        <v>43</v>
      </c>
      <c r="Z232" s="2">
        <v>14</v>
      </c>
      <c r="AA232" s="2">
        <v>2</v>
      </c>
      <c r="AB232" s="1">
        <v>91.52</v>
      </c>
      <c r="AC232" s="1">
        <v>38.130000000000003</v>
      </c>
      <c r="AD232" t="s">
        <v>58</v>
      </c>
    </row>
    <row r="233" spans="1:30" x14ac:dyDescent="0.3">
      <c r="A233" s="2">
        <v>7656</v>
      </c>
      <c r="B233" s="3">
        <v>45478</v>
      </c>
      <c r="C233" s="2">
        <v>1049</v>
      </c>
      <c r="D233" s="2" t="s">
        <v>100</v>
      </c>
      <c r="E233" t="s">
        <v>25</v>
      </c>
      <c r="F233" t="s">
        <v>73</v>
      </c>
      <c r="G233" t="s">
        <v>109</v>
      </c>
      <c r="H233" t="s">
        <v>38</v>
      </c>
      <c r="I233" s="2">
        <v>2956</v>
      </c>
      <c r="J233" t="s">
        <v>86</v>
      </c>
      <c r="K233" t="s">
        <v>64</v>
      </c>
      <c r="L233" t="s">
        <v>30</v>
      </c>
      <c r="M233">
        <v>2024</v>
      </c>
      <c r="N233">
        <v>42</v>
      </c>
      <c r="O233" t="s">
        <v>56</v>
      </c>
      <c r="P233" s="2">
        <v>2</v>
      </c>
      <c r="Q233" s="1">
        <v>673.26</v>
      </c>
      <c r="R233" t="s">
        <v>42</v>
      </c>
      <c r="S233" s="1">
        <v>67.33</v>
      </c>
      <c r="T233" s="1">
        <v>605.92999999999995</v>
      </c>
      <c r="U233" s="1">
        <f t="shared" si="3"/>
        <v>605.92999999999995</v>
      </c>
      <c r="V233" s="1" t="s">
        <v>113</v>
      </c>
      <c r="W233" t="s">
        <v>57</v>
      </c>
      <c r="X233" t="s">
        <v>50</v>
      </c>
      <c r="Y233" t="s">
        <v>50</v>
      </c>
      <c r="Z233" s="2">
        <v>8</v>
      </c>
      <c r="AA233" s="2">
        <v>1</v>
      </c>
      <c r="AB233" s="1">
        <v>80.790000000000006</v>
      </c>
      <c r="AC233" s="1">
        <v>33.659999999999997</v>
      </c>
      <c r="AD233" t="s">
        <v>35</v>
      </c>
    </row>
    <row r="234" spans="1:30" x14ac:dyDescent="0.3">
      <c r="A234" s="2">
        <v>7657</v>
      </c>
      <c r="B234" s="3">
        <v>45467</v>
      </c>
      <c r="C234" s="2">
        <v>1002</v>
      </c>
      <c r="D234" s="2" t="s">
        <v>85</v>
      </c>
      <c r="E234" t="s">
        <v>85</v>
      </c>
      <c r="F234" t="s">
        <v>26</v>
      </c>
      <c r="G234" t="s">
        <v>55</v>
      </c>
      <c r="H234" t="s">
        <v>55</v>
      </c>
      <c r="I234" s="2">
        <v>2436</v>
      </c>
      <c r="J234" t="s">
        <v>28</v>
      </c>
      <c r="K234" t="s">
        <v>68</v>
      </c>
      <c r="L234" t="s">
        <v>30</v>
      </c>
      <c r="M234">
        <v>2024</v>
      </c>
      <c r="N234">
        <v>37</v>
      </c>
      <c r="O234" t="s">
        <v>56</v>
      </c>
      <c r="P234" s="2">
        <v>4</v>
      </c>
      <c r="Q234" s="1">
        <v>627.54999999999995</v>
      </c>
      <c r="R234" t="s">
        <v>42</v>
      </c>
      <c r="S234" s="1">
        <v>62.75</v>
      </c>
      <c r="T234" s="1">
        <v>564.79999999999995</v>
      </c>
      <c r="U234" s="1">
        <f t="shared" si="3"/>
        <v>564.79999999999995</v>
      </c>
      <c r="V234" s="1" t="s">
        <v>53</v>
      </c>
      <c r="W234" t="s">
        <v>53</v>
      </c>
      <c r="X234" t="s">
        <v>34</v>
      </c>
      <c r="Y234" t="s">
        <v>34</v>
      </c>
      <c r="Z234" s="2">
        <v>11</v>
      </c>
      <c r="AA234" s="2">
        <v>2</v>
      </c>
      <c r="AB234" s="1">
        <v>75.31</v>
      </c>
      <c r="AC234" s="1">
        <v>31.38</v>
      </c>
      <c r="AD234" t="s">
        <v>58</v>
      </c>
    </row>
    <row r="235" spans="1:30" x14ac:dyDescent="0.3">
      <c r="A235" s="2">
        <v>7658</v>
      </c>
      <c r="B235" s="3">
        <v>45479</v>
      </c>
      <c r="C235" s="2">
        <v>1009</v>
      </c>
      <c r="D235" s="2" t="s">
        <v>100</v>
      </c>
      <c r="E235" t="s">
        <v>25</v>
      </c>
      <c r="F235" t="s">
        <v>45</v>
      </c>
      <c r="G235" t="s">
        <v>55</v>
      </c>
      <c r="H235" t="s">
        <v>55</v>
      </c>
      <c r="I235" s="2">
        <v>2346</v>
      </c>
      <c r="J235" t="s">
        <v>80</v>
      </c>
      <c r="K235" t="s">
        <v>40</v>
      </c>
      <c r="L235" t="s">
        <v>30</v>
      </c>
      <c r="M235">
        <v>2023</v>
      </c>
      <c r="N235">
        <v>42</v>
      </c>
      <c r="O235" t="s">
        <v>31</v>
      </c>
      <c r="P235" s="2">
        <v>4</v>
      </c>
      <c r="Q235" s="1">
        <v>783.88</v>
      </c>
      <c r="R235" t="s">
        <v>42</v>
      </c>
      <c r="S235" s="1">
        <v>78.39</v>
      </c>
      <c r="T235" s="1">
        <v>705.49</v>
      </c>
      <c r="U235" s="1">
        <f t="shared" si="3"/>
        <v>705.49</v>
      </c>
      <c r="V235" s="1" t="s">
        <v>49</v>
      </c>
      <c r="W235" t="s">
        <v>49</v>
      </c>
      <c r="X235" t="s">
        <v>50</v>
      </c>
      <c r="Y235" t="s">
        <v>50</v>
      </c>
      <c r="Z235" s="2">
        <v>8</v>
      </c>
      <c r="AA235" s="2">
        <v>4</v>
      </c>
      <c r="AB235" s="1">
        <v>94.07</v>
      </c>
      <c r="AC235" s="1">
        <v>39.19</v>
      </c>
      <c r="AD235" t="s">
        <v>35</v>
      </c>
    </row>
    <row r="236" spans="1:30" x14ac:dyDescent="0.3">
      <c r="A236" s="2">
        <v>7659</v>
      </c>
      <c r="B236" s="3">
        <v>45493</v>
      </c>
      <c r="C236" s="2">
        <v>1000</v>
      </c>
      <c r="D236" s="2" t="s">
        <v>62</v>
      </c>
      <c r="E236" t="s">
        <v>62</v>
      </c>
      <c r="F236" t="s">
        <v>60</v>
      </c>
      <c r="G236" t="s">
        <v>27</v>
      </c>
      <c r="H236" t="s">
        <v>27</v>
      </c>
      <c r="I236" s="2">
        <v>2869</v>
      </c>
      <c r="J236" t="s">
        <v>63</v>
      </c>
      <c r="K236" t="s">
        <v>47</v>
      </c>
      <c r="L236" t="s">
        <v>61</v>
      </c>
      <c r="M236">
        <v>2022</v>
      </c>
      <c r="N236">
        <v>37</v>
      </c>
      <c r="O236" t="s">
        <v>75</v>
      </c>
      <c r="P236" s="2">
        <v>3</v>
      </c>
      <c r="Q236" s="1">
        <v>789.65</v>
      </c>
      <c r="R236" t="s">
        <v>32</v>
      </c>
      <c r="S236" s="1">
        <v>0</v>
      </c>
      <c r="T236" s="1">
        <v>789.65</v>
      </c>
      <c r="U236" s="1">
        <f t="shared" si="3"/>
        <v>789.65</v>
      </c>
      <c r="V236" s="1" t="s">
        <v>49</v>
      </c>
      <c r="W236" t="s">
        <v>49</v>
      </c>
      <c r="X236" t="s">
        <v>115</v>
      </c>
      <c r="Y236" t="s">
        <v>43</v>
      </c>
      <c r="Z236" s="2">
        <v>2</v>
      </c>
      <c r="AA236" s="2">
        <v>3</v>
      </c>
      <c r="AB236" s="1">
        <v>94.76</v>
      </c>
      <c r="AC236" s="1">
        <v>0</v>
      </c>
      <c r="AD236" t="s">
        <v>35</v>
      </c>
    </row>
    <row r="237" spans="1:30" x14ac:dyDescent="0.3">
      <c r="A237" s="2">
        <v>7660</v>
      </c>
      <c r="B237" s="3">
        <v>45785</v>
      </c>
      <c r="C237" s="2">
        <v>1092</v>
      </c>
      <c r="D237" s="2" t="s">
        <v>91</v>
      </c>
      <c r="E237" t="s">
        <v>91</v>
      </c>
      <c r="F237" t="s">
        <v>37</v>
      </c>
      <c r="G237" t="s">
        <v>27</v>
      </c>
      <c r="H237" t="s">
        <v>27</v>
      </c>
      <c r="I237" s="2">
        <v>2798</v>
      </c>
      <c r="J237" t="s">
        <v>51</v>
      </c>
      <c r="K237" t="s">
        <v>52</v>
      </c>
      <c r="L237" t="s">
        <v>41</v>
      </c>
      <c r="M237">
        <v>2022</v>
      </c>
      <c r="N237">
        <v>37</v>
      </c>
      <c r="O237" t="s">
        <v>75</v>
      </c>
      <c r="P237" s="2">
        <v>3</v>
      </c>
      <c r="Q237" s="1">
        <v>596.14</v>
      </c>
      <c r="R237" t="s">
        <v>32</v>
      </c>
      <c r="S237" s="1">
        <v>0</v>
      </c>
      <c r="T237" s="1">
        <v>596.14</v>
      </c>
      <c r="U237" s="1">
        <f t="shared" si="3"/>
        <v>596.14</v>
      </c>
      <c r="V237" s="1" t="s">
        <v>112</v>
      </c>
      <c r="W237" t="s">
        <v>33</v>
      </c>
      <c r="X237" t="s">
        <v>115</v>
      </c>
      <c r="Y237" t="s">
        <v>43</v>
      </c>
      <c r="Z237" s="2">
        <v>15</v>
      </c>
      <c r="AA237" s="2">
        <v>4</v>
      </c>
      <c r="AB237" s="1">
        <v>71.540000000000006</v>
      </c>
      <c r="AC237" s="1">
        <v>0</v>
      </c>
      <c r="AD237" t="s">
        <v>58</v>
      </c>
    </row>
    <row r="238" spans="1:30" x14ac:dyDescent="0.3">
      <c r="A238" s="2">
        <v>7661</v>
      </c>
      <c r="B238" s="3">
        <v>45519</v>
      </c>
      <c r="C238" s="2">
        <v>1029</v>
      </c>
      <c r="D238" s="2" t="s">
        <v>70</v>
      </c>
      <c r="E238" t="s">
        <v>70</v>
      </c>
      <c r="F238" t="s">
        <v>73</v>
      </c>
      <c r="G238" t="s">
        <v>27</v>
      </c>
      <c r="H238" t="s">
        <v>27</v>
      </c>
      <c r="I238" s="2">
        <v>2395</v>
      </c>
      <c r="J238" t="s">
        <v>80</v>
      </c>
      <c r="K238" t="s">
        <v>29</v>
      </c>
      <c r="L238" t="s">
        <v>30</v>
      </c>
      <c r="M238">
        <v>2023</v>
      </c>
      <c r="N238">
        <v>40</v>
      </c>
      <c r="O238" t="s">
        <v>48</v>
      </c>
      <c r="P238" s="2">
        <v>1</v>
      </c>
      <c r="Q238" s="1">
        <v>796.49</v>
      </c>
      <c r="R238" t="s">
        <v>42</v>
      </c>
      <c r="S238" s="1">
        <v>79.650000000000006</v>
      </c>
      <c r="T238" s="1">
        <v>716.84</v>
      </c>
      <c r="U238" s="1">
        <f t="shared" si="3"/>
        <v>716.84</v>
      </c>
      <c r="V238" s="1" t="s">
        <v>113</v>
      </c>
      <c r="W238" t="s">
        <v>57</v>
      </c>
      <c r="X238" t="s">
        <v>50</v>
      </c>
      <c r="Y238" t="s">
        <v>50</v>
      </c>
      <c r="Z238" s="2">
        <v>12</v>
      </c>
      <c r="AA238" s="2">
        <v>4</v>
      </c>
      <c r="AB238" s="1">
        <v>95.58</v>
      </c>
      <c r="AC238" s="1">
        <v>39.82</v>
      </c>
      <c r="AD238" t="s">
        <v>58</v>
      </c>
    </row>
    <row r="239" spans="1:30" x14ac:dyDescent="0.3">
      <c r="A239" s="2">
        <v>7662</v>
      </c>
      <c r="B239" s="3">
        <v>45735</v>
      </c>
      <c r="C239" s="2">
        <v>1017</v>
      </c>
      <c r="D239" s="2" t="s">
        <v>102</v>
      </c>
      <c r="E239" t="s">
        <v>54</v>
      </c>
      <c r="F239" t="s">
        <v>45</v>
      </c>
      <c r="G239" t="s">
        <v>27</v>
      </c>
      <c r="H239" t="s">
        <v>27</v>
      </c>
      <c r="I239" s="2">
        <v>2601</v>
      </c>
      <c r="J239" t="s">
        <v>46</v>
      </c>
      <c r="K239" t="s">
        <v>29</v>
      </c>
      <c r="L239" t="s">
        <v>61</v>
      </c>
      <c r="M239">
        <v>2023</v>
      </c>
      <c r="N239">
        <v>37</v>
      </c>
      <c r="O239" t="s">
        <v>56</v>
      </c>
      <c r="P239" s="2">
        <v>3</v>
      </c>
      <c r="Q239" s="1">
        <v>689.45</v>
      </c>
      <c r="R239" t="s">
        <v>32</v>
      </c>
      <c r="S239" s="1">
        <v>0</v>
      </c>
      <c r="T239" s="1">
        <v>689.45</v>
      </c>
      <c r="U239" s="1">
        <f t="shared" si="3"/>
        <v>689.45</v>
      </c>
      <c r="V239" s="1" t="s">
        <v>113</v>
      </c>
      <c r="W239" t="s">
        <v>57</v>
      </c>
      <c r="X239" t="s">
        <v>115</v>
      </c>
      <c r="Y239" t="s">
        <v>43</v>
      </c>
      <c r="Z239" s="2">
        <v>1</v>
      </c>
      <c r="AA239" s="2">
        <v>4</v>
      </c>
      <c r="AB239" s="1">
        <v>82.73</v>
      </c>
      <c r="AC239" s="1">
        <v>0</v>
      </c>
      <c r="AD239" t="s">
        <v>35</v>
      </c>
    </row>
    <row r="240" spans="1:30" x14ac:dyDescent="0.3">
      <c r="A240" s="2">
        <v>7663</v>
      </c>
      <c r="B240" s="3">
        <v>45729</v>
      </c>
      <c r="C240" s="2">
        <v>1067</v>
      </c>
      <c r="D240" s="2" t="s">
        <v>106</v>
      </c>
      <c r="E240" t="s">
        <v>97</v>
      </c>
      <c r="F240" t="s">
        <v>60</v>
      </c>
      <c r="G240" t="s">
        <v>109</v>
      </c>
      <c r="H240" t="s">
        <v>38</v>
      </c>
      <c r="I240" s="2">
        <v>2381</v>
      </c>
      <c r="J240" t="s">
        <v>39</v>
      </c>
      <c r="K240" t="s">
        <v>40</v>
      </c>
      <c r="L240" t="s">
        <v>30</v>
      </c>
      <c r="M240">
        <v>2023</v>
      </c>
      <c r="N240">
        <v>39</v>
      </c>
      <c r="O240" t="s">
        <v>66</v>
      </c>
      <c r="P240" s="2">
        <v>3</v>
      </c>
      <c r="Q240" s="1">
        <v>384.05</v>
      </c>
      <c r="R240" t="s">
        <v>32</v>
      </c>
      <c r="S240" s="1">
        <v>0</v>
      </c>
      <c r="T240" s="1">
        <v>384.05</v>
      </c>
      <c r="U240" s="1">
        <f t="shared" si="3"/>
        <v>384.05</v>
      </c>
      <c r="V240" s="1" t="s">
        <v>113</v>
      </c>
      <c r="W240" t="s">
        <v>57</v>
      </c>
      <c r="X240" t="s">
        <v>34</v>
      </c>
      <c r="Y240" t="s">
        <v>34</v>
      </c>
      <c r="Z240" s="2">
        <v>4</v>
      </c>
      <c r="AA240" s="2">
        <v>3</v>
      </c>
      <c r="AB240" s="1">
        <v>46.09</v>
      </c>
      <c r="AC240" s="1">
        <v>0</v>
      </c>
      <c r="AD240" t="s">
        <v>69</v>
      </c>
    </row>
    <row r="241" spans="1:30" x14ac:dyDescent="0.3">
      <c r="A241" s="2">
        <v>7664</v>
      </c>
      <c r="B241" s="3">
        <v>45698</v>
      </c>
      <c r="C241" s="2">
        <v>1013</v>
      </c>
      <c r="D241" s="2" t="s">
        <v>62</v>
      </c>
      <c r="E241" t="s">
        <v>62</v>
      </c>
      <c r="F241" t="s">
        <v>45</v>
      </c>
      <c r="G241" t="s">
        <v>109</v>
      </c>
      <c r="H241" t="s">
        <v>38</v>
      </c>
      <c r="I241" s="2">
        <v>2158</v>
      </c>
      <c r="J241" t="s">
        <v>80</v>
      </c>
      <c r="K241" t="s">
        <v>68</v>
      </c>
      <c r="L241" t="s">
        <v>61</v>
      </c>
      <c r="M241">
        <v>2022</v>
      </c>
      <c r="N241">
        <v>37</v>
      </c>
      <c r="O241" t="s">
        <v>75</v>
      </c>
      <c r="P241" s="2">
        <v>1</v>
      </c>
      <c r="Q241" s="1">
        <v>510.11</v>
      </c>
      <c r="R241" t="s">
        <v>42</v>
      </c>
      <c r="S241" s="1">
        <v>51.01</v>
      </c>
      <c r="T241" s="1">
        <v>459.1</v>
      </c>
      <c r="U241" s="1">
        <f t="shared" si="3"/>
        <v>459.1</v>
      </c>
      <c r="V241" s="1" t="s">
        <v>112</v>
      </c>
      <c r="W241" t="s">
        <v>33</v>
      </c>
      <c r="X241" t="s">
        <v>34</v>
      </c>
      <c r="Y241" t="s">
        <v>34</v>
      </c>
      <c r="Z241" s="2">
        <v>6</v>
      </c>
      <c r="AA241" s="2">
        <v>5</v>
      </c>
      <c r="AB241" s="1">
        <v>61.21</v>
      </c>
      <c r="AC241" s="1">
        <v>25.51</v>
      </c>
      <c r="AD241" t="s">
        <v>35</v>
      </c>
    </row>
    <row r="242" spans="1:30" x14ac:dyDescent="0.3">
      <c r="A242" s="2">
        <v>7665</v>
      </c>
      <c r="B242" s="3">
        <v>45679</v>
      </c>
      <c r="C242" s="2">
        <v>1047</v>
      </c>
      <c r="D242" s="2" t="s">
        <v>84</v>
      </c>
      <c r="E242" t="s">
        <v>84</v>
      </c>
      <c r="F242" t="s">
        <v>60</v>
      </c>
      <c r="G242" t="s">
        <v>27</v>
      </c>
      <c r="H242" t="s">
        <v>27</v>
      </c>
      <c r="I242" s="2">
        <v>2339</v>
      </c>
      <c r="J242" t="s">
        <v>28</v>
      </c>
      <c r="K242" t="s">
        <v>52</v>
      </c>
      <c r="L242" t="s">
        <v>61</v>
      </c>
      <c r="M242">
        <v>2022</v>
      </c>
      <c r="N242">
        <v>38</v>
      </c>
      <c r="O242" t="s">
        <v>56</v>
      </c>
      <c r="P242" s="2">
        <v>2</v>
      </c>
      <c r="Q242" s="1">
        <v>778.61</v>
      </c>
      <c r="R242" t="s">
        <v>32</v>
      </c>
      <c r="S242" s="1">
        <v>0</v>
      </c>
      <c r="T242" s="1">
        <v>778.61</v>
      </c>
      <c r="U242" s="1">
        <f t="shared" si="3"/>
        <v>778.61</v>
      </c>
      <c r="V242" s="1" t="s">
        <v>113</v>
      </c>
      <c r="W242" t="s">
        <v>57</v>
      </c>
      <c r="X242" t="s">
        <v>34</v>
      </c>
      <c r="Y242" t="s">
        <v>34</v>
      </c>
      <c r="Z242" s="2">
        <v>4</v>
      </c>
      <c r="AA242" s="2">
        <v>4</v>
      </c>
      <c r="AB242" s="1">
        <v>93.43</v>
      </c>
      <c r="AC242" s="1">
        <v>0</v>
      </c>
      <c r="AD242" t="s">
        <v>58</v>
      </c>
    </row>
    <row r="243" spans="1:30" x14ac:dyDescent="0.3">
      <c r="A243" s="2">
        <v>7666</v>
      </c>
      <c r="B243" s="3">
        <v>45785</v>
      </c>
      <c r="C243" s="2">
        <v>1081</v>
      </c>
      <c r="D243" s="2" t="s">
        <v>105</v>
      </c>
      <c r="E243" t="s">
        <v>81</v>
      </c>
      <c r="F243" t="s">
        <v>26</v>
      </c>
      <c r="G243" t="s">
        <v>55</v>
      </c>
      <c r="H243" t="s">
        <v>55</v>
      </c>
      <c r="I243" s="2">
        <v>2038</v>
      </c>
      <c r="J243" t="s">
        <v>86</v>
      </c>
      <c r="K243" t="s">
        <v>72</v>
      </c>
      <c r="L243" t="s">
        <v>61</v>
      </c>
      <c r="M243">
        <v>2023</v>
      </c>
      <c r="N243">
        <v>40</v>
      </c>
      <c r="O243" t="s">
        <v>66</v>
      </c>
      <c r="P243" s="2">
        <v>2</v>
      </c>
      <c r="Q243" s="1">
        <v>344.96</v>
      </c>
      <c r="R243" t="s">
        <v>42</v>
      </c>
      <c r="S243" s="1">
        <v>34.5</v>
      </c>
      <c r="T243" s="1">
        <v>310.45999999999998</v>
      </c>
      <c r="U243" s="1">
        <f t="shared" si="3"/>
        <v>310.45999999999998</v>
      </c>
      <c r="V243" s="1" t="s">
        <v>49</v>
      </c>
      <c r="W243" t="s">
        <v>49</v>
      </c>
      <c r="X243" t="s">
        <v>34</v>
      </c>
      <c r="Y243" t="s">
        <v>34</v>
      </c>
      <c r="Z243" s="2">
        <v>11</v>
      </c>
      <c r="AA243" s="2">
        <v>3</v>
      </c>
      <c r="AB243" s="1">
        <v>41.4</v>
      </c>
      <c r="AC243" s="1">
        <v>17.25</v>
      </c>
      <c r="AD243" t="s">
        <v>69</v>
      </c>
    </row>
    <row r="244" spans="1:30" x14ac:dyDescent="0.3">
      <c r="A244" s="2">
        <v>7667</v>
      </c>
      <c r="B244" s="3">
        <v>45756</v>
      </c>
      <c r="C244" s="2">
        <v>1058</v>
      </c>
      <c r="D244" s="2" t="s">
        <v>91</v>
      </c>
      <c r="E244" t="s">
        <v>91</v>
      </c>
      <c r="F244" t="s">
        <v>60</v>
      </c>
      <c r="G244" t="s">
        <v>55</v>
      </c>
      <c r="H244" t="s">
        <v>55</v>
      </c>
      <c r="I244" s="2">
        <v>2965</v>
      </c>
      <c r="J244" t="s">
        <v>63</v>
      </c>
      <c r="K244" t="s">
        <v>72</v>
      </c>
      <c r="L244" t="s">
        <v>30</v>
      </c>
      <c r="M244">
        <v>2023</v>
      </c>
      <c r="N244">
        <v>39</v>
      </c>
      <c r="O244" t="s">
        <v>66</v>
      </c>
      <c r="P244" s="2">
        <v>5</v>
      </c>
      <c r="Q244" s="1">
        <v>513.05999999999995</v>
      </c>
      <c r="R244" t="s">
        <v>32</v>
      </c>
      <c r="S244" s="1">
        <v>0</v>
      </c>
      <c r="T244" s="1">
        <v>513.05999999999995</v>
      </c>
      <c r="U244" s="1">
        <f t="shared" si="3"/>
        <v>513.05999999999995</v>
      </c>
      <c r="V244" s="1" t="s">
        <v>112</v>
      </c>
      <c r="W244" t="s">
        <v>33</v>
      </c>
      <c r="X244" t="s">
        <v>34</v>
      </c>
      <c r="Y244" t="s">
        <v>34</v>
      </c>
      <c r="Z244" s="2">
        <v>1</v>
      </c>
      <c r="AA244" s="2">
        <v>5</v>
      </c>
      <c r="AB244" s="1">
        <v>61.57</v>
      </c>
      <c r="AC244" s="1">
        <v>0</v>
      </c>
      <c r="AD244" t="s">
        <v>58</v>
      </c>
    </row>
    <row r="245" spans="1:30" x14ac:dyDescent="0.3">
      <c r="A245" s="2">
        <v>7668</v>
      </c>
      <c r="B245" s="3">
        <v>45501</v>
      </c>
      <c r="C245" s="2">
        <v>1060</v>
      </c>
      <c r="D245" s="2" t="s">
        <v>106</v>
      </c>
      <c r="E245" t="s">
        <v>97</v>
      </c>
      <c r="F245" t="s">
        <v>37</v>
      </c>
      <c r="G245" t="s">
        <v>27</v>
      </c>
      <c r="H245" t="s">
        <v>27</v>
      </c>
      <c r="I245" s="2">
        <v>2959</v>
      </c>
      <c r="J245" t="s">
        <v>86</v>
      </c>
      <c r="K245" t="s">
        <v>78</v>
      </c>
      <c r="L245" t="s">
        <v>61</v>
      </c>
      <c r="M245">
        <v>2023</v>
      </c>
      <c r="N245">
        <v>42</v>
      </c>
      <c r="O245" t="s">
        <v>31</v>
      </c>
      <c r="P245" s="2">
        <v>4</v>
      </c>
      <c r="Q245" s="1">
        <v>612.53</v>
      </c>
      <c r="R245" t="s">
        <v>42</v>
      </c>
      <c r="S245" s="1">
        <v>61.25</v>
      </c>
      <c r="T245" s="1">
        <v>551.28</v>
      </c>
      <c r="U245" s="1">
        <f t="shared" si="3"/>
        <v>551.28</v>
      </c>
      <c r="V245" s="1" t="s">
        <v>49</v>
      </c>
      <c r="W245" t="s">
        <v>49</v>
      </c>
      <c r="X245" t="s">
        <v>115</v>
      </c>
      <c r="Y245" t="s">
        <v>43</v>
      </c>
      <c r="Z245" s="2">
        <v>1</v>
      </c>
      <c r="AA245" s="2">
        <v>1</v>
      </c>
      <c r="AB245" s="1">
        <v>73.5</v>
      </c>
      <c r="AC245" s="1">
        <v>30.63</v>
      </c>
      <c r="AD245" t="s">
        <v>69</v>
      </c>
    </row>
    <row r="246" spans="1:30" x14ac:dyDescent="0.3">
      <c r="A246" s="2">
        <v>7669</v>
      </c>
      <c r="B246" s="3">
        <v>45788</v>
      </c>
      <c r="C246" s="2">
        <v>1043</v>
      </c>
      <c r="D246" s="2" t="s">
        <v>91</v>
      </c>
      <c r="E246" t="s">
        <v>91</v>
      </c>
      <c r="F246" t="s">
        <v>73</v>
      </c>
      <c r="G246" t="s">
        <v>109</v>
      </c>
      <c r="H246" t="s">
        <v>38</v>
      </c>
      <c r="I246" s="2">
        <v>2370</v>
      </c>
      <c r="J246" t="s">
        <v>46</v>
      </c>
      <c r="K246" t="s">
        <v>29</v>
      </c>
      <c r="L246" t="s">
        <v>41</v>
      </c>
      <c r="M246">
        <v>2023</v>
      </c>
      <c r="N246">
        <v>38</v>
      </c>
      <c r="O246" t="s">
        <v>66</v>
      </c>
      <c r="P246" s="2">
        <v>5</v>
      </c>
      <c r="Q246" s="1">
        <v>524.08000000000004</v>
      </c>
      <c r="R246" t="s">
        <v>42</v>
      </c>
      <c r="S246" s="1">
        <v>52.41</v>
      </c>
      <c r="T246" s="1">
        <v>4716700000000000</v>
      </c>
      <c r="U246" s="1">
        <f t="shared" si="3"/>
        <v>471.67000000000007</v>
      </c>
      <c r="V246" s="1" t="s">
        <v>49</v>
      </c>
      <c r="W246" t="s">
        <v>49</v>
      </c>
      <c r="X246" t="s">
        <v>50</v>
      </c>
      <c r="Y246" t="s">
        <v>50</v>
      </c>
      <c r="Z246" s="2">
        <v>11</v>
      </c>
      <c r="AA246" s="2">
        <v>2</v>
      </c>
      <c r="AB246" s="1">
        <v>62.89</v>
      </c>
      <c r="AC246" s="1">
        <v>26.2</v>
      </c>
      <c r="AD246" t="s">
        <v>58</v>
      </c>
    </row>
    <row r="247" spans="1:30" x14ac:dyDescent="0.3">
      <c r="A247" s="2">
        <v>7670</v>
      </c>
      <c r="B247" s="3">
        <v>45611</v>
      </c>
      <c r="C247" s="2">
        <v>1036</v>
      </c>
      <c r="D247" s="2" t="s">
        <v>106</v>
      </c>
      <c r="E247" t="s">
        <v>97</v>
      </c>
      <c r="F247" t="s">
        <v>45</v>
      </c>
      <c r="G247" t="s">
        <v>55</v>
      </c>
      <c r="H247" t="s">
        <v>55</v>
      </c>
      <c r="I247" s="2">
        <v>2816</v>
      </c>
      <c r="J247" t="s">
        <v>71</v>
      </c>
      <c r="K247" t="s">
        <v>64</v>
      </c>
      <c r="L247" t="s">
        <v>61</v>
      </c>
      <c r="M247">
        <v>2022</v>
      </c>
      <c r="N247">
        <v>41</v>
      </c>
      <c r="O247" t="s">
        <v>31</v>
      </c>
      <c r="P247" s="2">
        <v>5</v>
      </c>
      <c r="Q247" s="1">
        <v>382.19</v>
      </c>
      <c r="R247" t="s">
        <v>32</v>
      </c>
      <c r="S247" s="1">
        <v>0</v>
      </c>
      <c r="T247" s="1">
        <v>382.19</v>
      </c>
      <c r="U247" s="1">
        <f t="shared" si="3"/>
        <v>382.19</v>
      </c>
      <c r="V247" s="1" t="s">
        <v>112</v>
      </c>
      <c r="W247" t="s">
        <v>33</v>
      </c>
      <c r="X247" t="s">
        <v>115</v>
      </c>
      <c r="Y247" t="s">
        <v>43</v>
      </c>
      <c r="Z247" s="2">
        <v>5</v>
      </c>
      <c r="AA247" s="2">
        <v>4</v>
      </c>
      <c r="AB247" s="1">
        <v>45.86</v>
      </c>
      <c r="AC247" s="1">
        <v>0</v>
      </c>
      <c r="AD247" t="s">
        <v>69</v>
      </c>
    </row>
    <row r="248" spans="1:30" x14ac:dyDescent="0.3">
      <c r="A248" s="2">
        <v>7671</v>
      </c>
      <c r="B248" s="3">
        <v>45628</v>
      </c>
      <c r="C248" s="2">
        <v>1029</v>
      </c>
      <c r="D248" s="2" t="s">
        <v>84</v>
      </c>
      <c r="E248" t="s">
        <v>84</v>
      </c>
      <c r="F248" t="s">
        <v>37</v>
      </c>
      <c r="G248" t="s">
        <v>27</v>
      </c>
      <c r="H248" t="s">
        <v>27</v>
      </c>
      <c r="I248" s="2">
        <v>2749</v>
      </c>
      <c r="J248" t="s">
        <v>28</v>
      </c>
      <c r="K248" t="s">
        <v>78</v>
      </c>
      <c r="L248" t="s">
        <v>30</v>
      </c>
      <c r="M248">
        <v>2024</v>
      </c>
      <c r="N248">
        <v>38</v>
      </c>
      <c r="O248" t="s">
        <v>48</v>
      </c>
      <c r="P248" s="2">
        <v>1</v>
      </c>
      <c r="Q248" s="1">
        <v>561.54</v>
      </c>
      <c r="R248" t="s">
        <v>42</v>
      </c>
      <c r="S248" s="1">
        <v>56.15</v>
      </c>
      <c r="T248" s="1">
        <v>505.39</v>
      </c>
      <c r="U248" s="1">
        <f t="shared" si="3"/>
        <v>505.39</v>
      </c>
      <c r="V248" s="1" t="s">
        <v>53</v>
      </c>
      <c r="W248" t="s">
        <v>53</v>
      </c>
      <c r="X248" t="s">
        <v>115</v>
      </c>
      <c r="Y248" t="s">
        <v>43</v>
      </c>
      <c r="Z248" s="2">
        <v>3</v>
      </c>
      <c r="AA248" s="2">
        <v>2</v>
      </c>
      <c r="AB248" s="1">
        <v>67.38</v>
      </c>
      <c r="AC248" s="1">
        <v>28.08</v>
      </c>
      <c r="AD248" t="s">
        <v>58</v>
      </c>
    </row>
    <row r="249" spans="1:30" x14ac:dyDescent="0.3">
      <c r="A249" s="2">
        <v>7672</v>
      </c>
      <c r="B249" s="3">
        <v>45774</v>
      </c>
      <c r="C249" s="2">
        <v>1042</v>
      </c>
      <c r="D249" s="2" t="s">
        <v>93</v>
      </c>
      <c r="E249" t="s">
        <v>93</v>
      </c>
      <c r="F249" t="s">
        <v>73</v>
      </c>
      <c r="G249" t="s">
        <v>27</v>
      </c>
      <c r="H249" t="s">
        <v>27</v>
      </c>
      <c r="I249" s="2">
        <v>2737</v>
      </c>
      <c r="J249" t="s">
        <v>86</v>
      </c>
      <c r="K249" t="s">
        <v>47</v>
      </c>
      <c r="L249" t="s">
        <v>30</v>
      </c>
      <c r="M249">
        <v>2023</v>
      </c>
      <c r="N249">
        <v>37</v>
      </c>
      <c r="O249" t="s">
        <v>66</v>
      </c>
      <c r="P249" s="2">
        <v>1</v>
      </c>
      <c r="Q249" s="1">
        <v>587.47</v>
      </c>
      <c r="R249" t="s">
        <v>32</v>
      </c>
      <c r="S249" s="1">
        <v>0</v>
      </c>
      <c r="T249" s="1">
        <v>587.47</v>
      </c>
      <c r="U249" s="1">
        <f t="shared" si="3"/>
        <v>587.47</v>
      </c>
      <c r="V249" s="1" t="s">
        <v>49</v>
      </c>
      <c r="W249" t="s">
        <v>49</v>
      </c>
      <c r="X249" t="s">
        <v>115</v>
      </c>
      <c r="Y249" t="s">
        <v>43</v>
      </c>
      <c r="Z249" s="2">
        <v>3</v>
      </c>
      <c r="AA249" s="2">
        <v>1</v>
      </c>
      <c r="AB249" s="1">
        <v>70.5</v>
      </c>
      <c r="AC249" s="1">
        <v>0</v>
      </c>
      <c r="AD249" t="s">
        <v>58</v>
      </c>
    </row>
    <row r="250" spans="1:30" x14ac:dyDescent="0.3">
      <c r="A250" s="2">
        <v>7673</v>
      </c>
      <c r="B250" s="3">
        <v>45578</v>
      </c>
      <c r="C250" s="2">
        <v>1096</v>
      </c>
      <c r="D250" s="2" t="s">
        <v>70</v>
      </c>
      <c r="E250" t="s">
        <v>70</v>
      </c>
      <c r="F250" t="s">
        <v>37</v>
      </c>
      <c r="G250" t="s">
        <v>109</v>
      </c>
      <c r="H250" t="s">
        <v>38</v>
      </c>
      <c r="I250" s="2">
        <v>2584</v>
      </c>
      <c r="J250" t="s">
        <v>63</v>
      </c>
      <c r="K250" t="s">
        <v>47</v>
      </c>
      <c r="L250" t="s">
        <v>30</v>
      </c>
      <c r="M250">
        <v>2022</v>
      </c>
      <c r="N250">
        <v>42</v>
      </c>
      <c r="O250" t="s">
        <v>48</v>
      </c>
      <c r="P250" s="2">
        <v>4</v>
      </c>
      <c r="Q250" s="1">
        <v>692.49</v>
      </c>
      <c r="R250" t="s">
        <v>42</v>
      </c>
      <c r="S250" s="1">
        <v>69.25</v>
      </c>
      <c r="T250" s="1">
        <v>623.24</v>
      </c>
      <c r="U250" s="1">
        <f t="shared" si="3"/>
        <v>623.24</v>
      </c>
      <c r="V250" s="1" t="s">
        <v>113</v>
      </c>
      <c r="W250" t="s">
        <v>57</v>
      </c>
      <c r="X250" t="s">
        <v>50</v>
      </c>
      <c r="Y250" t="s">
        <v>50</v>
      </c>
      <c r="Z250" s="2">
        <v>10</v>
      </c>
      <c r="AA250" s="2">
        <v>1</v>
      </c>
      <c r="AB250" s="1">
        <v>83.1</v>
      </c>
      <c r="AC250" s="1">
        <v>34.619999999999997</v>
      </c>
      <c r="AD250" t="s">
        <v>58</v>
      </c>
    </row>
    <row r="251" spans="1:30" x14ac:dyDescent="0.3">
      <c r="A251" s="2">
        <v>7674</v>
      </c>
      <c r="B251" s="3">
        <v>45781</v>
      </c>
      <c r="C251" s="2">
        <v>1008</v>
      </c>
      <c r="D251" s="2" t="s">
        <v>70</v>
      </c>
      <c r="E251" t="s">
        <v>70</v>
      </c>
      <c r="F251" t="s">
        <v>45</v>
      </c>
      <c r="G251" t="s">
        <v>109</v>
      </c>
      <c r="H251" t="s">
        <v>38</v>
      </c>
      <c r="I251" s="2">
        <v>2358</v>
      </c>
      <c r="J251" t="s">
        <v>51</v>
      </c>
      <c r="K251" t="s">
        <v>47</v>
      </c>
      <c r="L251" t="s">
        <v>30</v>
      </c>
      <c r="M251">
        <v>2024</v>
      </c>
      <c r="N251">
        <v>39</v>
      </c>
      <c r="O251" t="s">
        <v>48</v>
      </c>
      <c r="P251" s="2">
        <v>1</v>
      </c>
      <c r="Q251" s="1">
        <v>478.9</v>
      </c>
      <c r="R251" t="s">
        <v>32</v>
      </c>
      <c r="S251" s="1">
        <v>0</v>
      </c>
      <c r="T251" s="1">
        <v>478.9</v>
      </c>
      <c r="U251" s="1">
        <f t="shared" si="3"/>
        <v>478.9</v>
      </c>
      <c r="V251" s="1" t="s">
        <v>49</v>
      </c>
      <c r="W251" t="s">
        <v>49</v>
      </c>
      <c r="X251" t="s">
        <v>50</v>
      </c>
      <c r="Y251" t="s">
        <v>50</v>
      </c>
      <c r="Z251" s="2">
        <v>9</v>
      </c>
      <c r="AA251" s="2">
        <v>3</v>
      </c>
      <c r="AB251" s="1">
        <v>57.47</v>
      </c>
      <c r="AC251" s="1">
        <v>0</v>
      </c>
      <c r="AD251" t="s">
        <v>58</v>
      </c>
    </row>
    <row r="252" spans="1:30" x14ac:dyDescent="0.3">
      <c r="A252" s="2">
        <v>7675</v>
      </c>
      <c r="B252" s="3">
        <v>45761</v>
      </c>
      <c r="C252" s="2">
        <v>1048</v>
      </c>
      <c r="D252" s="2" t="s">
        <v>106</v>
      </c>
      <c r="E252" t="s">
        <v>97</v>
      </c>
      <c r="F252" t="s">
        <v>37</v>
      </c>
      <c r="G252" t="s">
        <v>109</v>
      </c>
      <c r="H252" t="s">
        <v>38</v>
      </c>
      <c r="I252" s="2">
        <v>2908</v>
      </c>
      <c r="J252" t="s">
        <v>46</v>
      </c>
      <c r="K252" t="s">
        <v>78</v>
      </c>
      <c r="L252" t="s">
        <v>41</v>
      </c>
      <c r="M252">
        <v>2023</v>
      </c>
      <c r="N252">
        <v>38</v>
      </c>
      <c r="O252" t="s">
        <v>48</v>
      </c>
      <c r="P252" s="2">
        <v>4</v>
      </c>
      <c r="Q252" s="1">
        <v>589.07000000000005</v>
      </c>
      <c r="R252" t="s">
        <v>42</v>
      </c>
      <c r="S252" s="1">
        <v>58.91</v>
      </c>
      <c r="T252" s="1">
        <v>5301600000000000</v>
      </c>
      <c r="U252" s="1">
        <f t="shared" si="3"/>
        <v>530.16000000000008</v>
      </c>
      <c r="V252" s="1" t="s">
        <v>113</v>
      </c>
      <c r="W252" t="s">
        <v>57</v>
      </c>
      <c r="X252" t="s">
        <v>50</v>
      </c>
      <c r="Y252" t="s">
        <v>50</v>
      </c>
      <c r="Z252" s="2">
        <v>11</v>
      </c>
      <c r="AA252" s="2">
        <v>4</v>
      </c>
      <c r="AB252" s="1">
        <v>70.69</v>
      </c>
      <c r="AC252" s="1">
        <v>29.45</v>
      </c>
      <c r="AD252" t="s">
        <v>69</v>
      </c>
    </row>
    <row r="253" spans="1:30" x14ac:dyDescent="0.3">
      <c r="A253" s="2">
        <v>7676</v>
      </c>
      <c r="B253" s="3">
        <v>45525</v>
      </c>
      <c r="C253" s="2">
        <v>1069</v>
      </c>
      <c r="D253" s="2" t="s">
        <v>106</v>
      </c>
      <c r="E253" t="s">
        <v>97</v>
      </c>
      <c r="F253" t="s">
        <v>37</v>
      </c>
      <c r="G253" t="s">
        <v>109</v>
      </c>
      <c r="H253" t="s">
        <v>38</v>
      </c>
      <c r="I253" s="2">
        <v>2842</v>
      </c>
      <c r="J253" t="s">
        <v>28</v>
      </c>
      <c r="K253" t="s">
        <v>68</v>
      </c>
      <c r="L253" t="s">
        <v>30</v>
      </c>
      <c r="M253">
        <v>2024</v>
      </c>
      <c r="N253">
        <v>37</v>
      </c>
      <c r="O253" t="s">
        <v>31</v>
      </c>
      <c r="P253" s="2">
        <v>4</v>
      </c>
      <c r="Q253" s="1">
        <v>345.42</v>
      </c>
      <c r="R253" t="s">
        <v>42</v>
      </c>
      <c r="S253" s="1">
        <v>34.54</v>
      </c>
      <c r="T253" s="1">
        <v>310.88</v>
      </c>
      <c r="U253" s="1">
        <f t="shared" si="3"/>
        <v>310.88</v>
      </c>
      <c r="V253" s="1" t="s">
        <v>112</v>
      </c>
      <c r="W253" t="s">
        <v>33</v>
      </c>
      <c r="X253" t="s">
        <v>115</v>
      </c>
      <c r="Y253" t="s">
        <v>43</v>
      </c>
      <c r="Z253" s="2">
        <v>14</v>
      </c>
      <c r="AA253" s="2">
        <v>2</v>
      </c>
      <c r="AB253" s="1">
        <v>41.45</v>
      </c>
      <c r="AC253" s="1">
        <v>17.27</v>
      </c>
      <c r="AD253" t="s">
        <v>69</v>
      </c>
    </row>
    <row r="254" spans="1:30" x14ac:dyDescent="0.3">
      <c r="A254" s="2">
        <v>7677</v>
      </c>
      <c r="B254" s="3">
        <v>45630</v>
      </c>
      <c r="C254" s="2">
        <v>1097</v>
      </c>
      <c r="D254" s="2" t="s">
        <v>103</v>
      </c>
      <c r="E254" t="s">
        <v>74</v>
      </c>
      <c r="F254" t="s">
        <v>45</v>
      </c>
      <c r="G254" t="s">
        <v>55</v>
      </c>
      <c r="H254" t="s">
        <v>55</v>
      </c>
      <c r="I254" s="2">
        <v>2560</v>
      </c>
      <c r="J254" t="s">
        <v>80</v>
      </c>
      <c r="K254" t="s">
        <v>40</v>
      </c>
      <c r="L254" t="s">
        <v>41</v>
      </c>
      <c r="M254">
        <v>2022</v>
      </c>
      <c r="N254">
        <v>42</v>
      </c>
      <c r="O254" t="s">
        <v>66</v>
      </c>
      <c r="P254" s="2">
        <v>4</v>
      </c>
      <c r="Q254" s="1">
        <v>321.39999999999998</v>
      </c>
      <c r="R254" t="s">
        <v>42</v>
      </c>
      <c r="S254" s="1">
        <v>32.14</v>
      </c>
      <c r="T254" s="1">
        <v>289.26</v>
      </c>
      <c r="U254" s="1">
        <f t="shared" si="3"/>
        <v>289.26</v>
      </c>
      <c r="V254" s="1" t="s">
        <v>113</v>
      </c>
      <c r="W254" t="s">
        <v>57</v>
      </c>
      <c r="X254" t="s">
        <v>34</v>
      </c>
      <c r="Y254" t="s">
        <v>34</v>
      </c>
      <c r="Z254" s="2">
        <v>5</v>
      </c>
      <c r="AA254" s="2">
        <v>2</v>
      </c>
      <c r="AB254" s="1">
        <v>38.57</v>
      </c>
      <c r="AC254" s="1">
        <v>16.07</v>
      </c>
      <c r="AD254" t="s">
        <v>35</v>
      </c>
    </row>
    <row r="255" spans="1:30" x14ac:dyDescent="0.3">
      <c r="A255" s="2">
        <v>7678</v>
      </c>
      <c r="B255" s="3">
        <v>45544</v>
      </c>
      <c r="C255" s="2">
        <v>1037</v>
      </c>
      <c r="D255" s="2" t="s">
        <v>89</v>
      </c>
      <c r="E255" t="s">
        <v>89</v>
      </c>
      <c r="F255" t="s">
        <v>26</v>
      </c>
      <c r="G255" t="s">
        <v>27</v>
      </c>
      <c r="H255" t="s">
        <v>27</v>
      </c>
      <c r="I255" s="2">
        <v>2632</v>
      </c>
      <c r="J255" t="s">
        <v>51</v>
      </c>
      <c r="K255" t="s">
        <v>68</v>
      </c>
      <c r="L255" t="s">
        <v>41</v>
      </c>
      <c r="M255">
        <v>2022</v>
      </c>
      <c r="N255">
        <v>40</v>
      </c>
      <c r="O255" t="s">
        <v>66</v>
      </c>
      <c r="P255" s="2">
        <v>2</v>
      </c>
      <c r="Q255" s="1">
        <v>382.15</v>
      </c>
      <c r="R255" t="s">
        <v>42</v>
      </c>
      <c r="S255" s="1">
        <v>38.21</v>
      </c>
      <c r="T255" s="1">
        <v>343.94</v>
      </c>
      <c r="U255" s="1">
        <f t="shared" si="3"/>
        <v>343.94</v>
      </c>
      <c r="V255" s="1" t="s">
        <v>112</v>
      </c>
      <c r="W255" t="s">
        <v>33</v>
      </c>
      <c r="X255" t="s">
        <v>34</v>
      </c>
      <c r="Y255" t="s">
        <v>34</v>
      </c>
      <c r="Z255" s="2">
        <v>8</v>
      </c>
      <c r="AA255" s="2">
        <v>1</v>
      </c>
      <c r="AB255" s="1">
        <v>45.86</v>
      </c>
      <c r="AC255" s="1">
        <v>19.11</v>
      </c>
      <c r="AD255" t="s">
        <v>58</v>
      </c>
    </row>
    <row r="256" spans="1:30" x14ac:dyDescent="0.3">
      <c r="A256" s="2">
        <v>7679</v>
      </c>
      <c r="B256" s="3">
        <v>45451</v>
      </c>
      <c r="C256" s="2">
        <v>1028</v>
      </c>
      <c r="D256" s="2" t="s">
        <v>83</v>
      </c>
      <c r="E256" t="s">
        <v>83</v>
      </c>
      <c r="F256" t="s">
        <v>73</v>
      </c>
      <c r="G256" t="s">
        <v>109</v>
      </c>
      <c r="H256" t="s">
        <v>38</v>
      </c>
      <c r="I256" s="2">
        <v>2072</v>
      </c>
      <c r="J256" t="s">
        <v>71</v>
      </c>
      <c r="K256" t="s">
        <v>68</v>
      </c>
      <c r="L256" t="s">
        <v>30</v>
      </c>
      <c r="M256">
        <v>2024</v>
      </c>
      <c r="N256">
        <v>42</v>
      </c>
      <c r="O256" t="s">
        <v>75</v>
      </c>
      <c r="P256" s="2">
        <v>5</v>
      </c>
      <c r="Q256" s="1">
        <v>670.28</v>
      </c>
      <c r="R256" t="s">
        <v>32</v>
      </c>
      <c r="S256" s="1">
        <v>0</v>
      </c>
      <c r="T256" s="1">
        <v>670.28</v>
      </c>
      <c r="U256" s="1">
        <f t="shared" si="3"/>
        <v>670.28</v>
      </c>
      <c r="V256" s="1" t="s">
        <v>53</v>
      </c>
      <c r="W256" t="s">
        <v>53</v>
      </c>
      <c r="X256" t="s">
        <v>50</v>
      </c>
      <c r="Y256" t="s">
        <v>50</v>
      </c>
      <c r="Z256" s="2">
        <v>1</v>
      </c>
      <c r="AA256" s="2">
        <v>5</v>
      </c>
      <c r="AB256" s="1">
        <v>80.430000000000007</v>
      </c>
      <c r="AC256" s="1">
        <v>0</v>
      </c>
      <c r="AD256" t="s">
        <v>58</v>
      </c>
    </row>
    <row r="257" spans="1:30" x14ac:dyDescent="0.3">
      <c r="A257" s="2">
        <v>7680</v>
      </c>
      <c r="B257" s="3">
        <v>45758</v>
      </c>
      <c r="C257" s="2">
        <v>1098</v>
      </c>
      <c r="D257" s="2" t="s">
        <v>104</v>
      </c>
      <c r="E257" t="s">
        <v>76</v>
      </c>
      <c r="F257" t="s">
        <v>26</v>
      </c>
      <c r="G257" t="s">
        <v>109</v>
      </c>
      <c r="H257" t="s">
        <v>38</v>
      </c>
      <c r="I257" s="2">
        <v>2154</v>
      </c>
      <c r="J257" t="s">
        <v>51</v>
      </c>
      <c r="K257" t="s">
        <v>68</v>
      </c>
      <c r="L257" t="s">
        <v>61</v>
      </c>
      <c r="M257">
        <v>2022</v>
      </c>
      <c r="N257">
        <v>37</v>
      </c>
      <c r="O257" t="s">
        <v>56</v>
      </c>
      <c r="P257" s="2">
        <v>1</v>
      </c>
      <c r="Q257" s="1">
        <v>530.69000000000005</v>
      </c>
      <c r="R257" t="s">
        <v>32</v>
      </c>
      <c r="S257" s="1">
        <v>0</v>
      </c>
      <c r="T257" s="1">
        <v>530.69000000000005</v>
      </c>
      <c r="U257" s="1">
        <f t="shared" si="3"/>
        <v>530.69000000000005</v>
      </c>
      <c r="V257" s="1" t="s">
        <v>113</v>
      </c>
      <c r="W257" t="s">
        <v>57</v>
      </c>
      <c r="X257" t="s">
        <v>115</v>
      </c>
      <c r="Y257" t="s">
        <v>43</v>
      </c>
      <c r="Z257" s="2">
        <v>2</v>
      </c>
      <c r="AA257" s="2">
        <v>1</v>
      </c>
      <c r="AB257" s="1">
        <v>63.68</v>
      </c>
      <c r="AC257" s="1">
        <v>0</v>
      </c>
      <c r="AD257" t="s">
        <v>69</v>
      </c>
    </row>
    <row r="258" spans="1:30" x14ac:dyDescent="0.3">
      <c r="A258" s="2">
        <v>7681</v>
      </c>
      <c r="B258" s="3">
        <v>45512</v>
      </c>
      <c r="C258" s="2">
        <v>1037</v>
      </c>
      <c r="D258" s="2" t="s">
        <v>93</v>
      </c>
      <c r="E258" t="s">
        <v>93</v>
      </c>
      <c r="F258" t="s">
        <v>37</v>
      </c>
      <c r="G258" t="s">
        <v>109</v>
      </c>
      <c r="H258" t="s">
        <v>38</v>
      </c>
      <c r="I258" s="2">
        <v>2670</v>
      </c>
      <c r="J258" t="s">
        <v>80</v>
      </c>
      <c r="K258" t="s">
        <v>40</v>
      </c>
      <c r="L258" t="s">
        <v>30</v>
      </c>
      <c r="M258">
        <v>2024</v>
      </c>
      <c r="N258">
        <v>42</v>
      </c>
      <c r="O258" t="s">
        <v>56</v>
      </c>
      <c r="P258" s="2">
        <v>1</v>
      </c>
      <c r="Q258" s="1">
        <v>619.95000000000005</v>
      </c>
      <c r="R258" t="s">
        <v>32</v>
      </c>
      <c r="S258" s="1">
        <v>0</v>
      </c>
      <c r="T258" s="1">
        <v>619.95000000000005</v>
      </c>
      <c r="U258" s="1">
        <f t="shared" si="3"/>
        <v>619.95000000000005</v>
      </c>
      <c r="V258" s="1" t="s">
        <v>49</v>
      </c>
      <c r="W258" t="s">
        <v>49</v>
      </c>
      <c r="X258" t="s">
        <v>50</v>
      </c>
      <c r="Y258" t="s">
        <v>50</v>
      </c>
      <c r="Z258" s="2">
        <v>9</v>
      </c>
      <c r="AA258" s="2">
        <v>2</v>
      </c>
      <c r="AB258" s="1">
        <v>74.39</v>
      </c>
      <c r="AC258" s="1">
        <v>0</v>
      </c>
      <c r="AD258" t="s">
        <v>58</v>
      </c>
    </row>
    <row r="259" spans="1:30" x14ac:dyDescent="0.3">
      <c r="A259" s="2">
        <v>7682</v>
      </c>
      <c r="B259" s="3">
        <v>45548</v>
      </c>
      <c r="C259" s="2">
        <v>1022</v>
      </c>
      <c r="D259" s="2" t="s">
        <v>105</v>
      </c>
      <c r="E259" t="s">
        <v>81</v>
      </c>
      <c r="F259" t="s">
        <v>45</v>
      </c>
      <c r="G259" t="s">
        <v>109</v>
      </c>
      <c r="H259" t="s">
        <v>38</v>
      </c>
      <c r="I259" s="2">
        <v>2776</v>
      </c>
      <c r="J259" t="s">
        <v>71</v>
      </c>
      <c r="K259" t="s">
        <v>40</v>
      </c>
      <c r="L259" t="s">
        <v>61</v>
      </c>
      <c r="M259">
        <v>2022</v>
      </c>
      <c r="N259">
        <v>39</v>
      </c>
      <c r="O259" t="s">
        <v>75</v>
      </c>
      <c r="P259" s="2">
        <v>4</v>
      </c>
      <c r="Q259" s="1">
        <v>633.72</v>
      </c>
      <c r="R259" t="s">
        <v>42</v>
      </c>
      <c r="S259" s="1">
        <v>63.37</v>
      </c>
      <c r="T259" s="1">
        <v>570.35</v>
      </c>
      <c r="U259" s="1">
        <f t="shared" si="3"/>
        <v>570.35</v>
      </c>
      <c r="V259" s="1" t="s">
        <v>53</v>
      </c>
      <c r="W259" t="s">
        <v>53</v>
      </c>
      <c r="X259" t="s">
        <v>50</v>
      </c>
      <c r="Y259" t="s">
        <v>50</v>
      </c>
      <c r="Z259" s="2">
        <v>15</v>
      </c>
      <c r="AA259" s="2">
        <v>5</v>
      </c>
      <c r="AB259" s="1">
        <v>76.05</v>
      </c>
      <c r="AC259" s="1">
        <v>31.69</v>
      </c>
      <c r="AD259" t="s">
        <v>69</v>
      </c>
    </row>
    <row r="260" spans="1:30" x14ac:dyDescent="0.3">
      <c r="A260" s="2">
        <v>7683</v>
      </c>
      <c r="B260" s="3">
        <v>45796</v>
      </c>
      <c r="C260" s="2">
        <v>1071</v>
      </c>
      <c r="D260" s="2" t="s">
        <v>84</v>
      </c>
      <c r="E260" t="s">
        <v>84</v>
      </c>
      <c r="F260" t="s">
        <v>26</v>
      </c>
      <c r="G260" t="s">
        <v>109</v>
      </c>
      <c r="H260" t="s">
        <v>38</v>
      </c>
      <c r="I260" s="2">
        <v>2435</v>
      </c>
      <c r="J260" t="s">
        <v>39</v>
      </c>
      <c r="K260" t="s">
        <v>52</v>
      </c>
      <c r="L260" t="s">
        <v>61</v>
      </c>
      <c r="M260">
        <v>2022</v>
      </c>
      <c r="N260">
        <v>37</v>
      </c>
      <c r="O260" t="s">
        <v>56</v>
      </c>
      <c r="P260" s="2">
        <v>5</v>
      </c>
      <c r="Q260" s="1">
        <v>671.81</v>
      </c>
      <c r="R260" t="s">
        <v>42</v>
      </c>
      <c r="S260" s="1">
        <v>67.180000000000007</v>
      </c>
      <c r="T260" s="1">
        <v>6046299999999990</v>
      </c>
      <c r="U260" s="1">
        <f t="shared" ref="U260:U301" si="4">Q260-S260</f>
        <v>604.62999999999988</v>
      </c>
      <c r="V260" s="1" t="s">
        <v>112</v>
      </c>
      <c r="W260" t="s">
        <v>33</v>
      </c>
      <c r="X260" t="s">
        <v>115</v>
      </c>
      <c r="Y260" t="s">
        <v>43</v>
      </c>
      <c r="Z260" s="2">
        <v>1</v>
      </c>
      <c r="AA260" s="2">
        <v>2</v>
      </c>
      <c r="AB260" s="1">
        <v>80.62</v>
      </c>
      <c r="AC260" s="1">
        <v>33.590000000000003</v>
      </c>
      <c r="AD260" t="s">
        <v>58</v>
      </c>
    </row>
    <row r="261" spans="1:30" x14ac:dyDescent="0.3">
      <c r="A261" s="2">
        <v>7684</v>
      </c>
      <c r="B261" s="3">
        <v>45498</v>
      </c>
      <c r="C261" s="2">
        <v>1045</v>
      </c>
      <c r="D261" s="2" t="s">
        <v>101</v>
      </c>
      <c r="E261" t="s">
        <v>44</v>
      </c>
      <c r="F261" t="s">
        <v>26</v>
      </c>
      <c r="G261" t="s">
        <v>109</v>
      </c>
      <c r="H261" t="s">
        <v>38</v>
      </c>
      <c r="I261" s="2">
        <v>2854</v>
      </c>
      <c r="J261" t="s">
        <v>46</v>
      </c>
      <c r="K261" t="s">
        <v>47</v>
      </c>
      <c r="L261" t="s">
        <v>41</v>
      </c>
      <c r="M261">
        <v>2023</v>
      </c>
      <c r="N261">
        <v>40</v>
      </c>
      <c r="O261" t="s">
        <v>66</v>
      </c>
      <c r="P261" s="2">
        <v>1</v>
      </c>
      <c r="Q261" s="1">
        <v>612.66</v>
      </c>
      <c r="R261" t="s">
        <v>42</v>
      </c>
      <c r="S261" s="1">
        <v>61.27</v>
      </c>
      <c r="T261" s="1">
        <v>551.39</v>
      </c>
      <c r="U261" s="1">
        <f t="shared" si="4"/>
        <v>551.39</v>
      </c>
      <c r="V261" s="1" t="s">
        <v>113</v>
      </c>
      <c r="W261" t="s">
        <v>57</v>
      </c>
      <c r="X261" t="s">
        <v>34</v>
      </c>
      <c r="Y261" t="s">
        <v>34</v>
      </c>
      <c r="Z261" s="2">
        <v>11</v>
      </c>
      <c r="AA261" s="2">
        <v>4</v>
      </c>
      <c r="AB261" s="1">
        <v>73.52</v>
      </c>
      <c r="AC261" s="1">
        <v>30.63</v>
      </c>
      <c r="AD261" t="s">
        <v>35</v>
      </c>
    </row>
    <row r="262" spans="1:30" x14ac:dyDescent="0.3">
      <c r="A262" s="2">
        <v>7685</v>
      </c>
      <c r="B262" s="3">
        <v>45561</v>
      </c>
      <c r="C262" s="2">
        <v>1031</v>
      </c>
      <c r="D262" s="2" t="s">
        <v>77</v>
      </c>
      <c r="E262" t="s">
        <v>77</v>
      </c>
      <c r="F262" t="s">
        <v>26</v>
      </c>
      <c r="G262" t="s">
        <v>27</v>
      </c>
      <c r="H262" t="s">
        <v>27</v>
      </c>
      <c r="I262" s="2">
        <v>2648</v>
      </c>
      <c r="J262" t="s">
        <v>51</v>
      </c>
      <c r="K262" t="s">
        <v>29</v>
      </c>
      <c r="L262" t="s">
        <v>61</v>
      </c>
      <c r="M262">
        <v>2023</v>
      </c>
      <c r="N262">
        <v>41</v>
      </c>
      <c r="O262" t="s">
        <v>48</v>
      </c>
      <c r="P262" s="2">
        <v>3</v>
      </c>
      <c r="Q262" s="1">
        <v>326.23</v>
      </c>
      <c r="R262" t="s">
        <v>42</v>
      </c>
      <c r="S262" s="1">
        <v>32.619999999999997</v>
      </c>
      <c r="T262" s="1">
        <v>293.61</v>
      </c>
      <c r="U262" s="1">
        <f t="shared" si="4"/>
        <v>293.61</v>
      </c>
      <c r="V262" s="1" t="s">
        <v>49</v>
      </c>
      <c r="W262" t="s">
        <v>49</v>
      </c>
      <c r="X262" t="s">
        <v>50</v>
      </c>
      <c r="Y262" t="s">
        <v>50</v>
      </c>
      <c r="Z262" s="2">
        <v>5</v>
      </c>
      <c r="AA262" s="2">
        <v>1</v>
      </c>
      <c r="AB262" s="1">
        <v>39.15</v>
      </c>
      <c r="AC262" s="1">
        <v>16.309999999999999</v>
      </c>
      <c r="AD262" t="s">
        <v>69</v>
      </c>
    </row>
    <row r="263" spans="1:30" x14ac:dyDescent="0.3">
      <c r="A263" s="2">
        <v>7686</v>
      </c>
      <c r="B263" s="3">
        <v>45742</v>
      </c>
      <c r="C263" s="2">
        <v>1023</v>
      </c>
      <c r="D263" s="2" t="s">
        <v>85</v>
      </c>
      <c r="E263" t="s">
        <v>85</v>
      </c>
      <c r="F263" t="s">
        <v>60</v>
      </c>
      <c r="G263" t="s">
        <v>109</v>
      </c>
      <c r="H263" t="s">
        <v>38</v>
      </c>
      <c r="I263" s="2">
        <v>2668</v>
      </c>
      <c r="J263" t="s">
        <v>86</v>
      </c>
      <c r="K263" t="s">
        <v>78</v>
      </c>
      <c r="L263" t="s">
        <v>30</v>
      </c>
      <c r="M263">
        <v>2024</v>
      </c>
      <c r="N263">
        <v>40</v>
      </c>
      <c r="O263" t="s">
        <v>31</v>
      </c>
      <c r="P263" s="2">
        <v>3</v>
      </c>
      <c r="Q263" s="1">
        <v>685.58</v>
      </c>
      <c r="R263" t="s">
        <v>42</v>
      </c>
      <c r="S263" s="1">
        <v>68.56</v>
      </c>
      <c r="T263" s="1">
        <v>617.02</v>
      </c>
      <c r="U263" s="1">
        <f t="shared" si="4"/>
        <v>617.02</v>
      </c>
      <c r="V263" s="1" t="s">
        <v>112</v>
      </c>
      <c r="W263" t="s">
        <v>33</v>
      </c>
      <c r="X263" t="s">
        <v>115</v>
      </c>
      <c r="Y263" t="s">
        <v>43</v>
      </c>
      <c r="Z263" s="2">
        <v>10</v>
      </c>
      <c r="AA263" s="2">
        <v>1</v>
      </c>
      <c r="AB263" s="1">
        <v>82.27</v>
      </c>
      <c r="AC263" s="1">
        <v>34.28</v>
      </c>
      <c r="AD263" t="s">
        <v>58</v>
      </c>
    </row>
    <row r="264" spans="1:30" x14ac:dyDescent="0.3">
      <c r="A264" s="2">
        <v>7687</v>
      </c>
      <c r="B264" s="3">
        <v>45460</v>
      </c>
      <c r="C264" s="2">
        <v>1066</v>
      </c>
      <c r="D264" s="2" t="s">
        <v>84</v>
      </c>
      <c r="E264" t="s">
        <v>84</v>
      </c>
      <c r="F264" t="s">
        <v>37</v>
      </c>
      <c r="G264" t="s">
        <v>55</v>
      </c>
      <c r="H264" t="s">
        <v>55</v>
      </c>
      <c r="I264" s="2">
        <v>2541</v>
      </c>
      <c r="J264" t="s">
        <v>51</v>
      </c>
      <c r="K264" t="s">
        <v>52</v>
      </c>
      <c r="L264" t="s">
        <v>61</v>
      </c>
      <c r="M264">
        <v>2024</v>
      </c>
      <c r="N264">
        <v>41</v>
      </c>
      <c r="O264" t="s">
        <v>56</v>
      </c>
      <c r="P264" s="2">
        <v>3</v>
      </c>
      <c r="Q264" s="1">
        <v>649.5</v>
      </c>
      <c r="R264" t="s">
        <v>32</v>
      </c>
      <c r="S264" s="1">
        <v>0</v>
      </c>
      <c r="T264" s="1">
        <v>649.5</v>
      </c>
      <c r="U264" s="1">
        <f t="shared" si="4"/>
        <v>649.5</v>
      </c>
      <c r="V264" s="1" t="s">
        <v>112</v>
      </c>
      <c r="W264" t="s">
        <v>33</v>
      </c>
      <c r="X264" t="s">
        <v>50</v>
      </c>
      <c r="Y264" t="s">
        <v>50</v>
      </c>
      <c r="Z264" s="2">
        <v>13</v>
      </c>
      <c r="AA264" s="2">
        <v>3</v>
      </c>
      <c r="AB264" s="1">
        <v>77.94</v>
      </c>
      <c r="AC264" s="1">
        <v>0</v>
      </c>
      <c r="AD264" t="s">
        <v>58</v>
      </c>
    </row>
    <row r="265" spans="1:30" x14ac:dyDescent="0.3">
      <c r="A265" s="2">
        <v>7688</v>
      </c>
      <c r="B265" s="3">
        <v>45699</v>
      </c>
      <c r="C265" s="2">
        <v>1002</v>
      </c>
      <c r="D265" s="2" t="s">
        <v>70</v>
      </c>
      <c r="E265" t="s">
        <v>70</v>
      </c>
      <c r="F265" t="s">
        <v>60</v>
      </c>
      <c r="G265" t="s">
        <v>27</v>
      </c>
      <c r="H265" t="s">
        <v>27</v>
      </c>
      <c r="I265" s="2">
        <v>2913</v>
      </c>
      <c r="J265" t="s">
        <v>80</v>
      </c>
      <c r="K265" t="s">
        <v>78</v>
      </c>
      <c r="L265" t="s">
        <v>61</v>
      </c>
      <c r="M265">
        <v>2022</v>
      </c>
      <c r="N265">
        <v>38</v>
      </c>
      <c r="O265" t="s">
        <v>56</v>
      </c>
      <c r="P265" s="2">
        <v>2</v>
      </c>
      <c r="Q265" s="1">
        <v>533.75</v>
      </c>
      <c r="R265" t="s">
        <v>32</v>
      </c>
      <c r="S265" s="1">
        <v>0</v>
      </c>
      <c r="T265" s="1">
        <v>533.75</v>
      </c>
      <c r="U265" s="1">
        <f t="shared" si="4"/>
        <v>533.75</v>
      </c>
      <c r="V265" s="1" t="s">
        <v>49</v>
      </c>
      <c r="W265" t="s">
        <v>49</v>
      </c>
      <c r="X265" t="s">
        <v>115</v>
      </c>
      <c r="Y265" t="s">
        <v>43</v>
      </c>
      <c r="Z265" s="2">
        <v>10</v>
      </c>
      <c r="AA265" s="2">
        <v>5</v>
      </c>
      <c r="AB265" s="1">
        <v>64.05</v>
      </c>
      <c r="AC265" s="1">
        <v>0</v>
      </c>
      <c r="AD265" t="s">
        <v>58</v>
      </c>
    </row>
    <row r="266" spans="1:30" x14ac:dyDescent="0.3">
      <c r="A266" s="2">
        <v>7689</v>
      </c>
      <c r="B266" s="3">
        <v>45561</v>
      </c>
      <c r="C266" s="2">
        <v>1083</v>
      </c>
      <c r="D266" s="2" t="s">
        <v>87</v>
      </c>
      <c r="E266" t="s">
        <v>87</v>
      </c>
      <c r="F266" t="s">
        <v>73</v>
      </c>
      <c r="G266" t="s">
        <v>109</v>
      </c>
      <c r="H266" t="s">
        <v>38</v>
      </c>
      <c r="I266" s="2">
        <v>2412</v>
      </c>
      <c r="J266" t="s">
        <v>80</v>
      </c>
      <c r="K266" t="s">
        <v>52</v>
      </c>
      <c r="L266" t="s">
        <v>61</v>
      </c>
      <c r="M266">
        <v>2022</v>
      </c>
      <c r="N266">
        <v>39</v>
      </c>
      <c r="O266" t="s">
        <v>66</v>
      </c>
      <c r="P266" s="2">
        <v>1</v>
      </c>
      <c r="Q266" s="1">
        <v>619.67999999999995</v>
      </c>
      <c r="R266" t="s">
        <v>42</v>
      </c>
      <c r="S266" s="1">
        <v>61.97</v>
      </c>
      <c r="T266" s="1">
        <v>5577099999999990</v>
      </c>
      <c r="U266" s="1">
        <f t="shared" si="4"/>
        <v>557.70999999999992</v>
      </c>
      <c r="V266" s="1" t="s">
        <v>49</v>
      </c>
      <c r="W266" t="s">
        <v>49</v>
      </c>
      <c r="X266" t="s">
        <v>115</v>
      </c>
      <c r="Y266" t="s">
        <v>43</v>
      </c>
      <c r="Z266" s="2">
        <v>4</v>
      </c>
      <c r="AA266" s="2">
        <v>1</v>
      </c>
      <c r="AB266" s="1">
        <v>74.36</v>
      </c>
      <c r="AC266" s="1">
        <v>30.98</v>
      </c>
      <c r="AD266" t="s">
        <v>69</v>
      </c>
    </row>
    <row r="267" spans="1:30" x14ac:dyDescent="0.3">
      <c r="A267" s="2">
        <v>7690</v>
      </c>
      <c r="B267" s="3">
        <v>45758</v>
      </c>
      <c r="C267" s="2">
        <v>1025</v>
      </c>
      <c r="D267" s="2" t="s">
        <v>87</v>
      </c>
      <c r="E267" t="s">
        <v>87</v>
      </c>
      <c r="F267" t="s">
        <v>73</v>
      </c>
      <c r="G267" t="s">
        <v>27</v>
      </c>
      <c r="H267" t="s">
        <v>27</v>
      </c>
      <c r="I267" s="2">
        <v>2532</v>
      </c>
      <c r="J267" t="s">
        <v>71</v>
      </c>
      <c r="K267" t="s">
        <v>47</v>
      </c>
      <c r="L267" t="s">
        <v>61</v>
      </c>
      <c r="M267">
        <v>2023</v>
      </c>
      <c r="N267">
        <v>37</v>
      </c>
      <c r="O267" t="s">
        <v>48</v>
      </c>
      <c r="P267" s="2">
        <v>5</v>
      </c>
      <c r="Q267" s="1">
        <v>788.58</v>
      </c>
      <c r="R267" t="s">
        <v>32</v>
      </c>
      <c r="S267" s="1">
        <v>0</v>
      </c>
      <c r="T267" s="1">
        <v>788.58</v>
      </c>
      <c r="U267" s="1">
        <f t="shared" si="4"/>
        <v>788.58</v>
      </c>
      <c r="V267" s="1" t="s">
        <v>49</v>
      </c>
      <c r="W267" t="s">
        <v>49</v>
      </c>
      <c r="X267" t="s">
        <v>115</v>
      </c>
      <c r="Y267" t="s">
        <v>43</v>
      </c>
      <c r="Z267" s="2">
        <v>2</v>
      </c>
      <c r="AA267" s="2">
        <v>1</v>
      </c>
      <c r="AB267" s="1">
        <v>94.63</v>
      </c>
      <c r="AC267" s="1">
        <v>0</v>
      </c>
      <c r="AD267" t="s">
        <v>69</v>
      </c>
    </row>
    <row r="268" spans="1:30" x14ac:dyDescent="0.3">
      <c r="A268" s="2">
        <v>7691</v>
      </c>
      <c r="B268" s="3">
        <v>45742</v>
      </c>
      <c r="C268" s="2">
        <v>1042</v>
      </c>
      <c r="D268" s="2" t="s">
        <v>98</v>
      </c>
      <c r="E268" t="s">
        <v>98</v>
      </c>
      <c r="F268" t="s">
        <v>60</v>
      </c>
      <c r="G268" t="s">
        <v>109</v>
      </c>
      <c r="H268" t="s">
        <v>38</v>
      </c>
      <c r="I268" s="2">
        <v>2599</v>
      </c>
      <c r="J268" t="s">
        <v>86</v>
      </c>
      <c r="K268" t="s">
        <v>68</v>
      </c>
      <c r="L268" t="s">
        <v>30</v>
      </c>
      <c r="M268">
        <v>2023</v>
      </c>
      <c r="N268">
        <v>37</v>
      </c>
      <c r="O268" t="s">
        <v>48</v>
      </c>
      <c r="P268" s="2">
        <v>1</v>
      </c>
      <c r="Q268" s="1">
        <v>623.22</v>
      </c>
      <c r="R268" t="s">
        <v>42</v>
      </c>
      <c r="S268" s="1">
        <v>62.32</v>
      </c>
      <c r="T268" s="1">
        <v>560.9</v>
      </c>
      <c r="U268" s="1">
        <f t="shared" si="4"/>
        <v>560.9</v>
      </c>
      <c r="V268" s="1" t="s">
        <v>53</v>
      </c>
      <c r="W268" t="s">
        <v>53</v>
      </c>
      <c r="X268" t="s">
        <v>34</v>
      </c>
      <c r="Y268" t="s">
        <v>34</v>
      </c>
      <c r="Z268" s="2">
        <v>7</v>
      </c>
      <c r="AA268" s="2">
        <v>1</v>
      </c>
      <c r="AB268" s="1">
        <v>74.790000000000006</v>
      </c>
      <c r="AC268" s="1">
        <v>31.16</v>
      </c>
      <c r="AD268" t="s">
        <v>69</v>
      </c>
    </row>
    <row r="269" spans="1:30" x14ac:dyDescent="0.3">
      <c r="A269" s="2">
        <v>7692</v>
      </c>
      <c r="B269" s="3">
        <v>45552</v>
      </c>
      <c r="C269" s="2">
        <v>1051</v>
      </c>
      <c r="D269" s="2" t="s">
        <v>84</v>
      </c>
      <c r="E269" t="s">
        <v>84</v>
      </c>
      <c r="F269" t="s">
        <v>60</v>
      </c>
      <c r="G269" t="s">
        <v>55</v>
      </c>
      <c r="H269" t="s">
        <v>55</v>
      </c>
      <c r="I269" s="2">
        <v>2242</v>
      </c>
      <c r="J269" t="s">
        <v>86</v>
      </c>
      <c r="K269" t="s">
        <v>47</v>
      </c>
      <c r="L269" t="s">
        <v>41</v>
      </c>
      <c r="M269">
        <v>2022</v>
      </c>
      <c r="N269">
        <v>37</v>
      </c>
      <c r="O269" t="s">
        <v>75</v>
      </c>
      <c r="P269" s="2">
        <v>5</v>
      </c>
      <c r="Q269" s="1">
        <v>472.35</v>
      </c>
      <c r="R269" t="s">
        <v>42</v>
      </c>
      <c r="S269" s="1">
        <v>47.24</v>
      </c>
      <c r="T269" s="1">
        <v>425.11</v>
      </c>
      <c r="U269" s="1">
        <f t="shared" si="4"/>
        <v>425.11</v>
      </c>
      <c r="V269" s="1" t="s">
        <v>53</v>
      </c>
      <c r="W269" t="s">
        <v>53</v>
      </c>
      <c r="X269" t="s">
        <v>50</v>
      </c>
      <c r="Y269" t="s">
        <v>50</v>
      </c>
      <c r="Z269" s="2">
        <v>3</v>
      </c>
      <c r="AA269" s="2">
        <v>4</v>
      </c>
      <c r="AB269" s="1">
        <v>56.68</v>
      </c>
      <c r="AC269" s="1">
        <v>23.62</v>
      </c>
      <c r="AD269" t="s">
        <v>58</v>
      </c>
    </row>
    <row r="270" spans="1:30" x14ac:dyDescent="0.3">
      <c r="A270" s="2">
        <v>7693</v>
      </c>
      <c r="B270" s="3">
        <v>45784</v>
      </c>
      <c r="C270" s="2">
        <v>1018</v>
      </c>
      <c r="D270" s="2" t="s">
        <v>89</v>
      </c>
      <c r="E270" t="s">
        <v>89</v>
      </c>
      <c r="F270" t="s">
        <v>60</v>
      </c>
      <c r="G270" t="s">
        <v>109</v>
      </c>
      <c r="H270" t="s">
        <v>38</v>
      </c>
      <c r="I270" s="2">
        <v>2402</v>
      </c>
      <c r="J270" t="s">
        <v>86</v>
      </c>
      <c r="K270" t="s">
        <v>29</v>
      </c>
      <c r="L270" t="s">
        <v>30</v>
      </c>
      <c r="M270">
        <v>2023</v>
      </c>
      <c r="N270">
        <v>42</v>
      </c>
      <c r="O270" t="s">
        <v>75</v>
      </c>
      <c r="P270" s="2">
        <v>4</v>
      </c>
      <c r="Q270" s="1">
        <v>537.66</v>
      </c>
      <c r="R270" t="s">
        <v>32</v>
      </c>
      <c r="S270" s="1">
        <v>0</v>
      </c>
      <c r="T270" s="1">
        <v>537.66</v>
      </c>
      <c r="U270" s="1">
        <f t="shared" si="4"/>
        <v>537.66</v>
      </c>
      <c r="V270" s="1" t="s">
        <v>112</v>
      </c>
      <c r="W270" t="s">
        <v>33</v>
      </c>
      <c r="X270" t="s">
        <v>34</v>
      </c>
      <c r="Y270" t="s">
        <v>34</v>
      </c>
      <c r="Z270" s="2">
        <v>8</v>
      </c>
      <c r="AA270" s="2">
        <v>2</v>
      </c>
      <c r="AB270" s="1">
        <v>64.52</v>
      </c>
      <c r="AC270" s="1">
        <v>0</v>
      </c>
      <c r="AD270" t="s">
        <v>58</v>
      </c>
    </row>
    <row r="271" spans="1:30" x14ac:dyDescent="0.3">
      <c r="A271" s="2">
        <v>7694</v>
      </c>
      <c r="B271" s="3">
        <v>45505</v>
      </c>
      <c r="C271" s="2">
        <v>1084</v>
      </c>
      <c r="D271" s="2" t="s">
        <v>62</v>
      </c>
      <c r="E271" t="s">
        <v>62</v>
      </c>
      <c r="F271" t="s">
        <v>73</v>
      </c>
      <c r="G271" t="s">
        <v>27</v>
      </c>
      <c r="H271" t="s">
        <v>27</v>
      </c>
      <c r="I271" s="2">
        <v>2516</v>
      </c>
      <c r="J271" t="s">
        <v>71</v>
      </c>
      <c r="K271" t="s">
        <v>72</v>
      </c>
      <c r="L271" t="s">
        <v>61</v>
      </c>
      <c r="M271">
        <v>2022</v>
      </c>
      <c r="N271">
        <v>38</v>
      </c>
      <c r="O271" t="s">
        <v>66</v>
      </c>
      <c r="P271" s="2">
        <v>5</v>
      </c>
      <c r="Q271" s="1">
        <v>552.84</v>
      </c>
      <c r="R271" t="s">
        <v>42</v>
      </c>
      <c r="S271" s="1">
        <v>55.28</v>
      </c>
      <c r="T271" s="1">
        <v>4.9756E+16</v>
      </c>
      <c r="U271" s="1">
        <f t="shared" si="4"/>
        <v>497.56000000000006</v>
      </c>
      <c r="V271" s="1" t="s">
        <v>53</v>
      </c>
      <c r="W271" t="s">
        <v>53</v>
      </c>
      <c r="X271" t="s">
        <v>115</v>
      </c>
      <c r="Y271" t="s">
        <v>43</v>
      </c>
      <c r="Z271" s="2">
        <v>11</v>
      </c>
      <c r="AA271" s="2">
        <v>2</v>
      </c>
      <c r="AB271" s="1">
        <v>66.34</v>
      </c>
      <c r="AC271" s="1">
        <v>27.64</v>
      </c>
      <c r="AD271" t="s">
        <v>35</v>
      </c>
    </row>
    <row r="272" spans="1:30" x14ac:dyDescent="0.3">
      <c r="A272" s="2">
        <v>7695</v>
      </c>
      <c r="B272" s="3">
        <v>45700</v>
      </c>
      <c r="C272" s="2">
        <v>1037</v>
      </c>
      <c r="D272" s="2" t="s">
        <v>70</v>
      </c>
      <c r="E272" t="s">
        <v>70</v>
      </c>
      <c r="F272" t="s">
        <v>60</v>
      </c>
      <c r="G272" t="s">
        <v>55</v>
      </c>
      <c r="H272" t="s">
        <v>55</v>
      </c>
      <c r="I272" s="2">
        <v>2710</v>
      </c>
      <c r="J272" t="s">
        <v>28</v>
      </c>
      <c r="K272" t="s">
        <v>52</v>
      </c>
      <c r="L272" t="s">
        <v>41</v>
      </c>
      <c r="M272">
        <v>2023</v>
      </c>
      <c r="N272">
        <v>38</v>
      </c>
      <c r="O272" t="s">
        <v>66</v>
      </c>
      <c r="P272" s="2">
        <v>3</v>
      </c>
      <c r="Q272" s="1">
        <v>332.56</v>
      </c>
      <c r="R272" t="s">
        <v>32</v>
      </c>
      <c r="S272" s="1">
        <v>0</v>
      </c>
      <c r="T272" s="1">
        <v>332.56</v>
      </c>
      <c r="U272" s="1">
        <f t="shared" si="4"/>
        <v>332.56</v>
      </c>
      <c r="V272" s="1" t="s">
        <v>113</v>
      </c>
      <c r="W272" t="s">
        <v>57</v>
      </c>
      <c r="X272" t="s">
        <v>34</v>
      </c>
      <c r="Y272" t="s">
        <v>34</v>
      </c>
      <c r="Z272" s="2">
        <v>4</v>
      </c>
      <c r="AA272" s="2">
        <v>3</v>
      </c>
      <c r="AB272" s="1">
        <v>39.909999999999997</v>
      </c>
      <c r="AC272" s="1">
        <v>0</v>
      </c>
      <c r="AD272" t="s">
        <v>58</v>
      </c>
    </row>
    <row r="273" spans="1:30" x14ac:dyDescent="0.3">
      <c r="A273" s="2">
        <v>7696</v>
      </c>
      <c r="B273" s="3">
        <v>45623</v>
      </c>
      <c r="C273" s="2">
        <v>1092</v>
      </c>
      <c r="D273" s="2" t="s">
        <v>95</v>
      </c>
      <c r="E273" t="s">
        <v>95</v>
      </c>
      <c r="F273" t="s">
        <v>60</v>
      </c>
      <c r="G273" t="s">
        <v>27</v>
      </c>
      <c r="H273" t="s">
        <v>27</v>
      </c>
      <c r="I273" s="2">
        <v>2711</v>
      </c>
      <c r="J273" t="s">
        <v>39</v>
      </c>
      <c r="K273" t="s">
        <v>40</v>
      </c>
      <c r="L273" t="s">
        <v>30</v>
      </c>
      <c r="M273">
        <v>2022</v>
      </c>
      <c r="N273">
        <v>38</v>
      </c>
      <c r="O273" t="s">
        <v>31</v>
      </c>
      <c r="P273" s="2">
        <v>3</v>
      </c>
      <c r="Q273" s="1">
        <v>469.09</v>
      </c>
      <c r="R273" t="s">
        <v>32</v>
      </c>
      <c r="S273" s="1">
        <v>0</v>
      </c>
      <c r="T273" s="1">
        <v>469.09</v>
      </c>
      <c r="U273" s="1">
        <f t="shared" si="4"/>
        <v>469.09</v>
      </c>
      <c r="V273" s="1" t="s">
        <v>49</v>
      </c>
      <c r="W273" t="s">
        <v>49</v>
      </c>
      <c r="X273" t="s">
        <v>115</v>
      </c>
      <c r="Y273" t="s">
        <v>43</v>
      </c>
      <c r="Z273" s="2">
        <v>11</v>
      </c>
      <c r="AA273" s="2">
        <v>5</v>
      </c>
      <c r="AB273" s="1">
        <v>56.29</v>
      </c>
      <c r="AC273" s="1">
        <v>0</v>
      </c>
      <c r="AD273" t="s">
        <v>69</v>
      </c>
    </row>
    <row r="274" spans="1:30" x14ac:dyDescent="0.3">
      <c r="A274" s="2">
        <v>7697</v>
      </c>
      <c r="B274" s="3">
        <v>45545</v>
      </c>
      <c r="C274" s="2">
        <v>1005</v>
      </c>
      <c r="D274" s="2" t="s">
        <v>88</v>
      </c>
      <c r="E274" t="s">
        <v>88</v>
      </c>
      <c r="F274" t="s">
        <v>37</v>
      </c>
      <c r="G274" t="s">
        <v>55</v>
      </c>
      <c r="H274" t="s">
        <v>55</v>
      </c>
      <c r="I274" s="2">
        <v>2793</v>
      </c>
      <c r="J274" t="s">
        <v>86</v>
      </c>
      <c r="K274" t="s">
        <v>29</v>
      </c>
      <c r="L274" t="s">
        <v>61</v>
      </c>
      <c r="M274">
        <v>2023</v>
      </c>
      <c r="N274">
        <v>40</v>
      </c>
      <c r="O274" t="s">
        <v>56</v>
      </c>
      <c r="P274" s="2">
        <v>4</v>
      </c>
      <c r="Q274" s="1">
        <v>407.35</v>
      </c>
      <c r="R274" t="s">
        <v>42</v>
      </c>
      <c r="S274" s="1">
        <v>40.74</v>
      </c>
      <c r="T274" s="1">
        <v>366.61</v>
      </c>
      <c r="U274" s="1">
        <f t="shared" si="4"/>
        <v>366.61</v>
      </c>
      <c r="V274" s="1" t="s">
        <v>113</v>
      </c>
      <c r="W274" t="s">
        <v>57</v>
      </c>
      <c r="X274" t="s">
        <v>115</v>
      </c>
      <c r="Y274" t="s">
        <v>43</v>
      </c>
      <c r="Z274" s="2">
        <v>2</v>
      </c>
      <c r="AA274" s="2">
        <v>3</v>
      </c>
      <c r="AB274" s="1">
        <v>48.88</v>
      </c>
      <c r="AC274" s="1">
        <v>20.37</v>
      </c>
      <c r="AD274" t="s">
        <v>58</v>
      </c>
    </row>
    <row r="275" spans="1:30" x14ac:dyDescent="0.3">
      <c r="A275" s="2">
        <v>7698</v>
      </c>
      <c r="B275" s="3">
        <v>45680</v>
      </c>
      <c r="C275" s="2">
        <v>1090</v>
      </c>
      <c r="D275" s="2" t="s">
        <v>101</v>
      </c>
      <c r="E275" t="s">
        <v>44</v>
      </c>
      <c r="F275" t="s">
        <v>26</v>
      </c>
      <c r="G275" t="s">
        <v>109</v>
      </c>
      <c r="H275" t="s">
        <v>38</v>
      </c>
      <c r="I275" s="2">
        <v>2384</v>
      </c>
      <c r="J275" t="s">
        <v>28</v>
      </c>
      <c r="K275" t="s">
        <v>78</v>
      </c>
      <c r="L275" t="s">
        <v>30</v>
      </c>
      <c r="M275">
        <v>2022</v>
      </c>
      <c r="N275">
        <v>42</v>
      </c>
      <c r="O275" t="s">
        <v>31</v>
      </c>
      <c r="P275" s="2">
        <v>5</v>
      </c>
      <c r="Q275" s="1">
        <v>779.03</v>
      </c>
      <c r="R275" t="s">
        <v>42</v>
      </c>
      <c r="S275" s="1">
        <v>77.900000000000006</v>
      </c>
      <c r="T275" s="1">
        <v>701.13</v>
      </c>
      <c r="U275" s="1">
        <f t="shared" si="4"/>
        <v>701.13</v>
      </c>
      <c r="V275" s="1" t="s">
        <v>112</v>
      </c>
      <c r="W275" t="s">
        <v>33</v>
      </c>
      <c r="X275" t="s">
        <v>115</v>
      </c>
      <c r="Y275" t="s">
        <v>43</v>
      </c>
      <c r="Z275" s="2">
        <v>4</v>
      </c>
      <c r="AA275" s="2">
        <v>4</v>
      </c>
      <c r="AB275" s="1">
        <v>93.48</v>
      </c>
      <c r="AC275" s="1">
        <v>38.950000000000003</v>
      </c>
      <c r="AD275" t="s">
        <v>35</v>
      </c>
    </row>
    <row r="276" spans="1:30" x14ac:dyDescent="0.3">
      <c r="A276" s="2">
        <v>7699</v>
      </c>
      <c r="B276" s="3">
        <v>45699</v>
      </c>
      <c r="C276" s="2">
        <v>1057</v>
      </c>
      <c r="D276" s="2" t="s">
        <v>84</v>
      </c>
      <c r="E276" t="s">
        <v>84</v>
      </c>
      <c r="F276" t="s">
        <v>45</v>
      </c>
      <c r="G276" t="s">
        <v>109</v>
      </c>
      <c r="H276" t="s">
        <v>38</v>
      </c>
      <c r="I276" s="2">
        <v>2969</v>
      </c>
      <c r="J276" t="s">
        <v>86</v>
      </c>
      <c r="K276" t="s">
        <v>52</v>
      </c>
      <c r="L276" t="s">
        <v>61</v>
      </c>
      <c r="M276">
        <v>2022</v>
      </c>
      <c r="N276">
        <v>38</v>
      </c>
      <c r="O276" t="s">
        <v>75</v>
      </c>
      <c r="P276" s="2">
        <v>3</v>
      </c>
      <c r="Q276" s="1">
        <v>424.81</v>
      </c>
      <c r="R276" t="s">
        <v>42</v>
      </c>
      <c r="S276" s="1">
        <v>42.48</v>
      </c>
      <c r="T276" s="1">
        <v>382.33</v>
      </c>
      <c r="U276" s="1">
        <f t="shared" si="4"/>
        <v>382.33</v>
      </c>
      <c r="V276" s="1" t="s">
        <v>49</v>
      </c>
      <c r="W276" t="s">
        <v>49</v>
      </c>
      <c r="X276" t="s">
        <v>34</v>
      </c>
      <c r="Y276" t="s">
        <v>34</v>
      </c>
      <c r="Z276" s="2">
        <v>1</v>
      </c>
      <c r="AA276" s="2">
        <v>1</v>
      </c>
      <c r="AB276" s="1">
        <v>50.98</v>
      </c>
      <c r="AC276" s="1">
        <v>21.24</v>
      </c>
      <c r="AD276" t="s">
        <v>58</v>
      </c>
    </row>
    <row r="277" spans="1:30" x14ac:dyDescent="0.3">
      <c r="A277" s="2">
        <v>7700</v>
      </c>
      <c r="B277" s="3">
        <v>45493</v>
      </c>
      <c r="C277" s="2">
        <v>1078</v>
      </c>
      <c r="D277" s="2" t="s">
        <v>104</v>
      </c>
      <c r="E277" t="s">
        <v>76</v>
      </c>
      <c r="F277" t="s">
        <v>60</v>
      </c>
      <c r="G277" t="s">
        <v>55</v>
      </c>
      <c r="H277" t="s">
        <v>55</v>
      </c>
      <c r="I277" s="2">
        <v>2871</v>
      </c>
      <c r="J277" t="s">
        <v>51</v>
      </c>
      <c r="K277" t="s">
        <v>64</v>
      </c>
      <c r="L277" t="s">
        <v>30</v>
      </c>
      <c r="M277">
        <v>2022</v>
      </c>
      <c r="N277">
        <v>40</v>
      </c>
      <c r="O277" t="s">
        <v>31</v>
      </c>
      <c r="P277" s="2">
        <v>5</v>
      </c>
      <c r="Q277" s="1">
        <v>374.29</v>
      </c>
      <c r="R277" t="s">
        <v>42</v>
      </c>
      <c r="S277" s="1">
        <v>37.43</v>
      </c>
      <c r="T277" s="1">
        <v>336.86</v>
      </c>
      <c r="U277" s="1">
        <f t="shared" si="4"/>
        <v>336.86</v>
      </c>
      <c r="V277" s="1" t="s">
        <v>113</v>
      </c>
      <c r="W277" t="s">
        <v>57</v>
      </c>
      <c r="X277" t="s">
        <v>34</v>
      </c>
      <c r="Y277" t="s">
        <v>34</v>
      </c>
      <c r="Z277" s="2">
        <v>2</v>
      </c>
      <c r="AA277" s="2">
        <v>1</v>
      </c>
      <c r="AB277" s="1">
        <v>44.91</v>
      </c>
      <c r="AC277" s="1">
        <v>18.71</v>
      </c>
      <c r="AD277" t="s">
        <v>69</v>
      </c>
    </row>
    <row r="278" spans="1:30" x14ac:dyDescent="0.3">
      <c r="A278" s="2">
        <v>7701</v>
      </c>
      <c r="B278" s="3">
        <v>45612</v>
      </c>
      <c r="C278" s="2">
        <v>1031</v>
      </c>
      <c r="D278" s="2" t="s">
        <v>67</v>
      </c>
      <c r="E278" t="s">
        <v>67</v>
      </c>
      <c r="F278" t="s">
        <v>73</v>
      </c>
      <c r="G278" t="s">
        <v>27</v>
      </c>
      <c r="H278" t="s">
        <v>27</v>
      </c>
      <c r="I278" s="2">
        <v>2144</v>
      </c>
      <c r="J278" t="s">
        <v>80</v>
      </c>
      <c r="K278" t="s">
        <v>64</v>
      </c>
      <c r="L278" t="s">
        <v>61</v>
      </c>
      <c r="M278">
        <v>2022</v>
      </c>
      <c r="N278">
        <v>39</v>
      </c>
      <c r="O278" t="s">
        <v>31</v>
      </c>
      <c r="P278" s="2">
        <v>1</v>
      </c>
      <c r="Q278" s="1">
        <v>387.23</v>
      </c>
      <c r="R278" t="s">
        <v>42</v>
      </c>
      <c r="S278" s="1">
        <v>38.72</v>
      </c>
      <c r="T278" s="1">
        <v>348.51</v>
      </c>
      <c r="U278" s="1">
        <f t="shared" si="4"/>
        <v>348.51</v>
      </c>
      <c r="V278" s="1" t="s">
        <v>49</v>
      </c>
      <c r="W278" t="s">
        <v>49</v>
      </c>
      <c r="X278" t="s">
        <v>115</v>
      </c>
      <c r="Y278" t="s">
        <v>43</v>
      </c>
      <c r="Z278" s="2">
        <v>4</v>
      </c>
      <c r="AA278" s="2">
        <v>5</v>
      </c>
      <c r="AB278" s="1">
        <v>46.47</v>
      </c>
      <c r="AC278" s="1">
        <v>19.36</v>
      </c>
      <c r="AD278" t="s">
        <v>69</v>
      </c>
    </row>
    <row r="279" spans="1:30" x14ac:dyDescent="0.3">
      <c r="A279" s="2">
        <v>7702</v>
      </c>
      <c r="B279" s="3">
        <v>45555</v>
      </c>
      <c r="C279" s="2">
        <v>1083</v>
      </c>
      <c r="D279" s="2" t="s">
        <v>103</v>
      </c>
      <c r="E279" t="s">
        <v>74</v>
      </c>
      <c r="F279" t="s">
        <v>37</v>
      </c>
      <c r="G279" t="s">
        <v>55</v>
      </c>
      <c r="H279" t="s">
        <v>55</v>
      </c>
      <c r="I279" s="2">
        <v>2729</v>
      </c>
      <c r="J279" t="s">
        <v>63</v>
      </c>
      <c r="K279" t="s">
        <v>47</v>
      </c>
      <c r="L279" t="s">
        <v>41</v>
      </c>
      <c r="M279">
        <v>2024</v>
      </c>
      <c r="N279">
        <v>40</v>
      </c>
      <c r="O279" t="s">
        <v>56</v>
      </c>
      <c r="P279" s="2">
        <v>3</v>
      </c>
      <c r="Q279" s="1">
        <v>461.45</v>
      </c>
      <c r="R279" t="s">
        <v>42</v>
      </c>
      <c r="S279" s="1">
        <v>46.15</v>
      </c>
      <c r="T279" s="1">
        <v>415.3</v>
      </c>
      <c r="U279" s="1">
        <f t="shared" si="4"/>
        <v>415.3</v>
      </c>
      <c r="V279" s="1" t="s">
        <v>113</v>
      </c>
      <c r="W279" t="s">
        <v>57</v>
      </c>
      <c r="X279" t="s">
        <v>34</v>
      </c>
      <c r="Y279" t="s">
        <v>34</v>
      </c>
      <c r="Z279" s="2">
        <v>13</v>
      </c>
      <c r="AA279" s="2">
        <v>2</v>
      </c>
      <c r="AB279" s="1">
        <v>55.37</v>
      </c>
      <c r="AC279" s="1">
        <v>23.07</v>
      </c>
      <c r="AD279" t="s">
        <v>35</v>
      </c>
    </row>
    <row r="280" spans="1:30" x14ac:dyDescent="0.3">
      <c r="A280" s="2">
        <v>7703</v>
      </c>
      <c r="B280" s="3">
        <v>45741</v>
      </c>
      <c r="C280" s="2">
        <v>1096</v>
      </c>
      <c r="D280" s="2" t="s">
        <v>62</v>
      </c>
      <c r="E280" t="s">
        <v>62</v>
      </c>
      <c r="F280" t="s">
        <v>26</v>
      </c>
      <c r="G280" t="s">
        <v>27</v>
      </c>
      <c r="H280" t="s">
        <v>27</v>
      </c>
      <c r="I280" s="2">
        <v>2131</v>
      </c>
      <c r="J280" t="s">
        <v>28</v>
      </c>
      <c r="K280" t="s">
        <v>78</v>
      </c>
      <c r="L280" t="s">
        <v>30</v>
      </c>
      <c r="M280">
        <v>2022</v>
      </c>
      <c r="N280">
        <v>38</v>
      </c>
      <c r="O280" t="s">
        <v>75</v>
      </c>
      <c r="P280" s="2">
        <v>4</v>
      </c>
      <c r="Q280" s="1">
        <v>548.79999999999995</v>
      </c>
      <c r="R280" t="s">
        <v>42</v>
      </c>
      <c r="S280" s="1">
        <v>54.88</v>
      </c>
      <c r="T280" s="1">
        <v>4.9391999999999904E+16</v>
      </c>
      <c r="U280" s="1">
        <f t="shared" si="4"/>
        <v>493.91999999999996</v>
      </c>
      <c r="V280" s="1" t="s">
        <v>113</v>
      </c>
      <c r="W280" t="s">
        <v>57</v>
      </c>
      <c r="X280" t="s">
        <v>34</v>
      </c>
      <c r="Y280" t="s">
        <v>34</v>
      </c>
      <c r="Z280" s="2">
        <v>10</v>
      </c>
      <c r="AA280" s="2">
        <v>4</v>
      </c>
      <c r="AB280" s="1">
        <v>65.86</v>
      </c>
      <c r="AC280" s="1">
        <v>27.44</v>
      </c>
      <c r="AD280" t="s">
        <v>35</v>
      </c>
    </row>
    <row r="281" spans="1:30" x14ac:dyDescent="0.3">
      <c r="A281" s="2">
        <v>7704</v>
      </c>
      <c r="B281" s="3">
        <v>45719</v>
      </c>
      <c r="C281" s="2">
        <v>1021</v>
      </c>
      <c r="D281" s="2" t="s">
        <v>105</v>
      </c>
      <c r="E281" t="s">
        <v>81</v>
      </c>
      <c r="F281" t="s">
        <v>60</v>
      </c>
      <c r="G281" t="s">
        <v>27</v>
      </c>
      <c r="H281" t="s">
        <v>27</v>
      </c>
      <c r="I281" s="2">
        <v>2208</v>
      </c>
      <c r="J281" t="s">
        <v>86</v>
      </c>
      <c r="K281" t="s">
        <v>40</v>
      </c>
      <c r="L281" t="s">
        <v>30</v>
      </c>
      <c r="M281">
        <v>2024</v>
      </c>
      <c r="N281">
        <v>37</v>
      </c>
      <c r="O281" t="s">
        <v>66</v>
      </c>
      <c r="P281" s="2">
        <v>5</v>
      </c>
      <c r="Q281" s="1">
        <v>778.63</v>
      </c>
      <c r="R281" t="s">
        <v>42</v>
      </c>
      <c r="S281" s="1">
        <v>77.86</v>
      </c>
      <c r="T281" s="1">
        <v>700.77</v>
      </c>
      <c r="U281" s="1">
        <f t="shared" si="4"/>
        <v>700.77</v>
      </c>
      <c r="V281" s="1" t="s">
        <v>53</v>
      </c>
      <c r="W281" t="s">
        <v>53</v>
      </c>
      <c r="X281" t="s">
        <v>115</v>
      </c>
      <c r="Y281" t="s">
        <v>43</v>
      </c>
      <c r="Z281" s="2">
        <v>13</v>
      </c>
      <c r="AA281" s="2">
        <v>2</v>
      </c>
      <c r="AB281" s="1">
        <v>93.44</v>
      </c>
      <c r="AC281" s="1">
        <v>38.93</v>
      </c>
      <c r="AD281" t="s">
        <v>69</v>
      </c>
    </row>
    <row r="282" spans="1:30" x14ac:dyDescent="0.3">
      <c r="A282" s="2">
        <v>7705</v>
      </c>
      <c r="B282" s="3">
        <v>45633</v>
      </c>
      <c r="C282" s="2">
        <v>1036</v>
      </c>
      <c r="D282" s="2" t="s">
        <v>101</v>
      </c>
      <c r="E282" t="s">
        <v>44</v>
      </c>
      <c r="F282" t="s">
        <v>73</v>
      </c>
      <c r="G282" t="s">
        <v>55</v>
      </c>
      <c r="H282" t="s">
        <v>55</v>
      </c>
      <c r="I282" s="2">
        <v>2443</v>
      </c>
      <c r="J282" t="s">
        <v>46</v>
      </c>
      <c r="K282" t="s">
        <v>78</v>
      </c>
      <c r="L282" t="s">
        <v>41</v>
      </c>
      <c r="M282">
        <v>2024</v>
      </c>
      <c r="N282">
        <v>38</v>
      </c>
      <c r="O282" t="s">
        <v>31</v>
      </c>
      <c r="P282" s="2">
        <v>2</v>
      </c>
      <c r="Q282" s="1">
        <v>576.04</v>
      </c>
      <c r="R282" t="s">
        <v>42</v>
      </c>
      <c r="S282" s="1">
        <v>57.6</v>
      </c>
      <c r="T282" s="1">
        <v>5184399999999990</v>
      </c>
      <c r="U282" s="1">
        <f t="shared" si="4"/>
        <v>518.43999999999994</v>
      </c>
      <c r="V282" s="1" t="s">
        <v>113</v>
      </c>
      <c r="W282" t="s">
        <v>57</v>
      </c>
      <c r="X282" t="s">
        <v>50</v>
      </c>
      <c r="Y282" t="s">
        <v>50</v>
      </c>
      <c r="Z282" s="2">
        <v>9</v>
      </c>
      <c r="AA282" s="2">
        <v>1</v>
      </c>
      <c r="AB282" s="1">
        <v>69.12</v>
      </c>
      <c r="AC282" s="1">
        <v>28.8</v>
      </c>
      <c r="AD282" t="s">
        <v>35</v>
      </c>
    </row>
    <row r="283" spans="1:30" x14ac:dyDescent="0.3">
      <c r="A283" s="2">
        <v>7706</v>
      </c>
      <c r="B283" s="3">
        <v>45585</v>
      </c>
      <c r="C283" s="2">
        <v>1008</v>
      </c>
      <c r="D283" s="2" t="s">
        <v>77</v>
      </c>
      <c r="E283" t="s">
        <v>77</v>
      </c>
      <c r="F283" t="s">
        <v>37</v>
      </c>
      <c r="G283" t="s">
        <v>109</v>
      </c>
      <c r="H283" t="s">
        <v>38</v>
      </c>
      <c r="I283" s="2">
        <v>2728</v>
      </c>
      <c r="J283" t="s">
        <v>63</v>
      </c>
      <c r="K283" t="s">
        <v>29</v>
      </c>
      <c r="L283" t="s">
        <v>61</v>
      </c>
      <c r="M283">
        <v>2024</v>
      </c>
      <c r="N283">
        <v>37</v>
      </c>
      <c r="O283" t="s">
        <v>31</v>
      </c>
      <c r="P283" s="2">
        <v>2</v>
      </c>
      <c r="Q283" s="1">
        <v>712.7</v>
      </c>
      <c r="R283" t="s">
        <v>32</v>
      </c>
      <c r="S283" s="1">
        <v>0</v>
      </c>
      <c r="T283" s="1">
        <v>712.7</v>
      </c>
      <c r="U283" s="1">
        <f t="shared" si="4"/>
        <v>712.7</v>
      </c>
      <c r="V283" s="1" t="s">
        <v>53</v>
      </c>
      <c r="W283" t="s">
        <v>53</v>
      </c>
      <c r="X283" t="s">
        <v>34</v>
      </c>
      <c r="Y283" t="s">
        <v>34</v>
      </c>
      <c r="Z283" s="2">
        <v>3</v>
      </c>
      <c r="AA283" s="2">
        <v>5</v>
      </c>
      <c r="AB283" s="1">
        <v>85.52</v>
      </c>
      <c r="AC283" s="1">
        <v>0</v>
      </c>
      <c r="AD283" t="s">
        <v>69</v>
      </c>
    </row>
    <row r="284" spans="1:30" x14ac:dyDescent="0.3">
      <c r="A284" s="2">
        <v>7707</v>
      </c>
      <c r="B284" s="3">
        <v>45509</v>
      </c>
      <c r="C284" s="2">
        <v>1095</v>
      </c>
      <c r="D284" s="2" t="s">
        <v>65</v>
      </c>
      <c r="E284" t="s">
        <v>65</v>
      </c>
      <c r="F284" t="s">
        <v>45</v>
      </c>
      <c r="G284" t="s">
        <v>55</v>
      </c>
      <c r="H284" t="s">
        <v>55</v>
      </c>
      <c r="I284" s="2">
        <v>2545</v>
      </c>
      <c r="J284" t="s">
        <v>28</v>
      </c>
      <c r="K284" t="s">
        <v>68</v>
      </c>
      <c r="L284" t="s">
        <v>30</v>
      </c>
      <c r="M284">
        <v>2022</v>
      </c>
      <c r="N284">
        <v>42</v>
      </c>
      <c r="O284" t="s">
        <v>48</v>
      </c>
      <c r="P284" s="2">
        <v>5</v>
      </c>
      <c r="Q284" s="1">
        <v>441.98</v>
      </c>
      <c r="R284" t="s">
        <v>42</v>
      </c>
      <c r="S284" s="1">
        <v>44.2</v>
      </c>
      <c r="T284" s="1">
        <v>3.9778E+16</v>
      </c>
      <c r="U284" s="1">
        <f t="shared" si="4"/>
        <v>397.78000000000003</v>
      </c>
      <c r="V284" s="1" t="s">
        <v>113</v>
      </c>
      <c r="W284" t="s">
        <v>57</v>
      </c>
      <c r="X284" t="s">
        <v>115</v>
      </c>
      <c r="Y284" t="s">
        <v>43</v>
      </c>
      <c r="Z284" s="2">
        <v>15</v>
      </c>
      <c r="AA284" s="2">
        <v>2</v>
      </c>
      <c r="AB284" s="1">
        <v>53.04</v>
      </c>
      <c r="AC284" s="1">
        <v>22.1</v>
      </c>
      <c r="AD284" t="s">
        <v>35</v>
      </c>
    </row>
    <row r="285" spans="1:30" x14ac:dyDescent="0.3">
      <c r="A285" s="2">
        <v>7708</v>
      </c>
      <c r="B285" s="3">
        <v>45662</v>
      </c>
      <c r="C285" s="2">
        <v>1067</v>
      </c>
      <c r="D285" s="2" t="s">
        <v>87</v>
      </c>
      <c r="E285" t="s">
        <v>87</v>
      </c>
      <c r="F285" t="s">
        <v>60</v>
      </c>
      <c r="G285" t="s">
        <v>55</v>
      </c>
      <c r="H285" t="s">
        <v>55</v>
      </c>
      <c r="I285" s="2">
        <v>2667</v>
      </c>
      <c r="J285" t="s">
        <v>80</v>
      </c>
      <c r="K285" t="s">
        <v>68</v>
      </c>
      <c r="L285" t="s">
        <v>41</v>
      </c>
      <c r="M285">
        <v>2022</v>
      </c>
      <c r="N285">
        <v>42</v>
      </c>
      <c r="O285" t="s">
        <v>31</v>
      </c>
      <c r="P285" s="2">
        <v>1</v>
      </c>
      <c r="Q285" s="1">
        <v>710.64</v>
      </c>
      <c r="R285" t="s">
        <v>42</v>
      </c>
      <c r="S285" s="1">
        <v>71.06</v>
      </c>
      <c r="T285" s="1">
        <v>6395799999999990</v>
      </c>
      <c r="U285" s="1">
        <f t="shared" si="4"/>
        <v>639.57999999999993</v>
      </c>
      <c r="V285" s="1" t="s">
        <v>112</v>
      </c>
      <c r="W285" t="s">
        <v>33</v>
      </c>
      <c r="X285" t="s">
        <v>34</v>
      </c>
      <c r="Y285" t="s">
        <v>34</v>
      </c>
      <c r="Z285" s="2">
        <v>6</v>
      </c>
      <c r="AA285" s="2">
        <v>3</v>
      </c>
      <c r="AB285" s="1">
        <v>85.28</v>
      </c>
      <c r="AC285" s="1">
        <v>35.53</v>
      </c>
      <c r="AD285" t="s">
        <v>69</v>
      </c>
    </row>
    <row r="286" spans="1:30" x14ac:dyDescent="0.3">
      <c r="A286" s="2">
        <v>7709</v>
      </c>
      <c r="B286" s="3">
        <v>45660</v>
      </c>
      <c r="C286" s="2">
        <v>1000</v>
      </c>
      <c r="D286" s="2" t="s">
        <v>59</v>
      </c>
      <c r="E286" t="s">
        <v>59</v>
      </c>
      <c r="F286" t="s">
        <v>60</v>
      </c>
      <c r="G286" t="s">
        <v>27</v>
      </c>
      <c r="H286" t="s">
        <v>27</v>
      </c>
      <c r="I286" s="2">
        <v>2837</v>
      </c>
      <c r="J286" t="s">
        <v>28</v>
      </c>
      <c r="K286" t="s">
        <v>52</v>
      </c>
      <c r="L286" t="s">
        <v>61</v>
      </c>
      <c r="M286">
        <v>2024</v>
      </c>
      <c r="N286">
        <v>38</v>
      </c>
      <c r="O286" t="s">
        <v>48</v>
      </c>
      <c r="P286" s="2">
        <v>4</v>
      </c>
      <c r="Q286" s="1">
        <v>625.47</v>
      </c>
      <c r="R286" t="s">
        <v>32</v>
      </c>
      <c r="S286" s="1">
        <v>0</v>
      </c>
      <c r="T286" s="1">
        <v>625.47</v>
      </c>
      <c r="U286" s="1">
        <f t="shared" si="4"/>
        <v>625.47</v>
      </c>
      <c r="V286" s="1" t="s">
        <v>113</v>
      </c>
      <c r="W286" t="s">
        <v>57</v>
      </c>
      <c r="X286" t="s">
        <v>50</v>
      </c>
      <c r="Y286" t="s">
        <v>50</v>
      </c>
      <c r="Z286" s="2">
        <v>12</v>
      </c>
      <c r="AA286" s="2">
        <v>3</v>
      </c>
      <c r="AB286" s="1">
        <v>75.06</v>
      </c>
      <c r="AC286" s="1">
        <v>0</v>
      </c>
      <c r="AD286" t="s">
        <v>35</v>
      </c>
    </row>
    <row r="287" spans="1:30" x14ac:dyDescent="0.3">
      <c r="A287" s="2">
        <v>7710</v>
      </c>
      <c r="B287" s="3">
        <v>45758</v>
      </c>
      <c r="C287" s="2">
        <v>1024</v>
      </c>
      <c r="D287" s="2" t="s">
        <v>79</v>
      </c>
      <c r="E287" t="s">
        <v>79</v>
      </c>
      <c r="F287" t="s">
        <v>45</v>
      </c>
      <c r="G287" t="s">
        <v>109</v>
      </c>
      <c r="H287" t="s">
        <v>38</v>
      </c>
      <c r="I287" s="2">
        <v>2636</v>
      </c>
      <c r="J287" t="s">
        <v>63</v>
      </c>
      <c r="K287" t="s">
        <v>29</v>
      </c>
      <c r="L287" t="s">
        <v>30</v>
      </c>
      <c r="M287">
        <v>2024</v>
      </c>
      <c r="N287">
        <v>37</v>
      </c>
      <c r="O287" t="s">
        <v>56</v>
      </c>
      <c r="P287" s="2">
        <v>1</v>
      </c>
      <c r="Q287" s="1">
        <v>540.01</v>
      </c>
      <c r="R287" t="s">
        <v>32</v>
      </c>
      <c r="S287" s="1">
        <v>0</v>
      </c>
      <c r="T287" s="1">
        <v>540.01</v>
      </c>
      <c r="U287" s="1">
        <f t="shared" si="4"/>
        <v>540.01</v>
      </c>
      <c r="V287" s="1" t="s">
        <v>113</v>
      </c>
      <c r="W287" t="s">
        <v>57</v>
      </c>
      <c r="X287" t="s">
        <v>34</v>
      </c>
      <c r="Y287" t="s">
        <v>34</v>
      </c>
      <c r="Z287" s="2">
        <v>14</v>
      </c>
      <c r="AA287" s="2">
        <v>4</v>
      </c>
      <c r="AB287" s="1">
        <v>64.8</v>
      </c>
      <c r="AC287" s="1">
        <v>0</v>
      </c>
      <c r="AD287" t="s">
        <v>58</v>
      </c>
    </row>
    <row r="288" spans="1:30" x14ac:dyDescent="0.3">
      <c r="A288" s="2">
        <v>7711</v>
      </c>
      <c r="B288" s="3">
        <v>45482</v>
      </c>
      <c r="C288" s="2">
        <v>1075</v>
      </c>
      <c r="D288" s="2" t="s">
        <v>96</v>
      </c>
      <c r="E288" t="s">
        <v>96</v>
      </c>
      <c r="F288" t="s">
        <v>45</v>
      </c>
      <c r="G288" t="s">
        <v>109</v>
      </c>
      <c r="H288" t="s">
        <v>38</v>
      </c>
      <c r="I288" s="2">
        <v>2294</v>
      </c>
      <c r="J288" t="s">
        <v>63</v>
      </c>
      <c r="K288" t="s">
        <v>40</v>
      </c>
      <c r="L288" t="s">
        <v>41</v>
      </c>
      <c r="M288">
        <v>2022</v>
      </c>
      <c r="N288">
        <v>40</v>
      </c>
      <c r="O288" t="s">
        <v>66</v>
      </c>
      <c r="P288" s="2">
        <v>1</v>
      </c>
      <c r="Q288" s="1">
        <v>707.56</v>
      </c>
      <c r="R288" t="s">
        <v>42</v>
      </c>
      <c r="S288" s="1">
        <v>70.760000000000005</v>
      </c>
      <c r="T288" s="1">
        <v>636.79999999999995</v>
      </c>
      <c r="U288" s="1">
        <f t="shared" si="4"/>
        <v>636.79999999999995</v>
      </c>
      <c r="V288" s="1" t="s">
        <v>49</v>
      </c>
      <c r="W288" t="s">
        <v>49</v>
      </c>
      <c r="X288" t="s">
        <v>34</v>
      </c>
      <c r="Y288" t="s">
        <v>34</v>
      </c>
      <c r="Z288" s="2">
        <v>9</v>
      </c>
      <c r="AA288" s="2">
        <v>4</v>
      </c>
      <c r="AB288" s="1">
        <v>84.91</v>
      </c>
      <c r="AC288" s="1">
        <v>35.380000000000003</v>
      </c>
      <c r="AD288" t="s">
        <v>58</v>
      </c>
    </row>
    <row r="289" spans="1:30" x14ac:dyDescent="0.3">
      <c r="A289" s="2">
        <v>7712</v>
      </c>
      <c r="B289" s="3">
        <v>45746</v>
      </c>
      <c r="C289" s="2">
        <v>1090</v>
      </c>
      <c r="D289" s="2" t="s">
        <v>105</v>
      </c>
      <c r="E289" t="s">
        <v>81</v>
      </c>
      <c r="F289" t="s">
        <v>73</v>
      </c>
      <c r="G289" t="s">
        <v>55</v>
      </c>
      <c r="H289" t="s">
        <v>55</v>
      </c>
      <c r="I289" s="2">
        <v>2759</v>
      </c>
      <c r="J289" t="s">
        <v>39</v>
      </c>
      <c r="K289" t="s">
        <v>68</v>
      </c>
      <c r="L289" t="s">
        <v>41</v>
      </c>
      <c r="M289">
        <v>2023</v>
      </c>
      <c r="N289">
        <v>40</v>
      </c>
      <c r="O289" t="s">
        <v>48</v>
      </c>
      <c r="P289" s="2">
        <v>1</v>
      </c>
      <c r="Q289" s="1">
        <v>414.63</v>
      </c>
      <c r="R289" t="s">
        <v>32</v>
      </c>
      <c r="S289" s="1">
        <v>0</v>
      </c>
      <c r="T289" s="1">
        <v>414.63</v>
      </c>
      <c r="U289" s="1">
        <f t="shared" si="4"/>
        <v>414.63</v>
      </c>
      <c r="V289" s="1" t="s">
        <v>113</v>
      </c>
      <c r="W289" t="s">
        <v>57</v>
      </c>
      <c r="X289" t="s">
        <v>50</v>
      </c>
      <c r="Y289" t="s">
        <v>50</v>
      </c>
      <c r="Z289" s="2">
        <v>7</v>
      </c>
      <c r="AA289" s="2">
        <v>2</v>
      </c>
      <c r="AB289" s="1">
        <v>49.76</v>
      </c>
      <c r="AC289" s="1">
        <v>0</v>
      </c>
      <c r="AD289" t="s">
        <v>69</v>
      </c>
    </row>
    <row r="290" spans="1:30" x14ac:dyDescent="0.3">
      <c r="A290" s="2">
        <v>7713</v>
      </c>
      <c r="B290" s="3">
        <v>45542</v>
      </c>
      <c r="C290" s="2">
        <v>1098</v>
      </c>
      <c r="D290" s="2" t="s">
        <v>98</v>
      </c>
      <c r="E290" t="s">
        <v>98</v>
      </c>
      <c r="F290" t="s">
        <v>26</v>
      </c>
      <c r="G290" t="s">
        <v>109</v>
      </c>
      <c r="H290" t="s">
        <v>38</v>
      </c>
      <c r="I290" s="2">
        <v>2777</v>
      </c>
      <c r="J290" t="s">
        <v>28</v>
      </c>
      <c r="K290" t="s">
        <v>78</v>
      </c>
      <c r="L290" t="s">
        <v>61</v>
      </c>
      <c r="M290">
        <v>2022</v>
      </c>
      <c r="N290">
        <v>40</v>
      </c>
      <c r="O290" t="s">
        <v>75</v>
      </c>
      <c r="P290" s="2">
        <v>1</v>
      </c>
      <c r="Q290" s="1">
        <v>583.84</v>
      </c>
      <c r="R290" t="s">
        <v>32</v>
      </c>
      <c r="S290" s="1">
        <v>0</v>
      </c>
      <c r="T290" s="1">
        <v>583.84</v>
      </c>
      <c r="U290" s="1">
        <f t="shared" si="4"/>
        <v>583.84</v>
      </c>
      <c r="V290" s="1" t="s">
        <v>53</v>
      </c>
      <c r="W290" t="s">
        <v>53</v>
      </c>
      <c r="X290" t="s">
        <v>115</v>
      </c>
      <c r="Y290" t="s">
        <v>43</v>
      </c>
      <c r="Z290" s="2">
        <v>15</v>
      </c>
      <c r="AA290" s="2">
        <v>4</v>
      </c>
      <c r="AB290" s="1">
        <v>70.06</v>
      </c>
      <c r="AC290" s="1">
        <v>0</v>
      </c>
      <c r="AD290" t="s">
        <v>69</v>
      </c>
    </row>
    <row r="291" spans="1:30" x14ac:dyDescent="0.3">
      <c r="A291" s="2">
        <v>7714</v>
      </c>
      <c r="B291" s="3">
        <v>45621</v>
      </c>
      <c r="C291" s="2">
        <v>1012</v>
      </c>
      <c r="D291" s="2" t="s">
        <v>93</v>
      </c>
      <c r="E291" t="s">
        <v>93</v>
      </c>
      <c r="F291" t="s">
        <v>45</v>
      </c>
      <c r="G291" t="s">
        <v>109</v>
      </c>
      <c r="H291" t="s">
        <v>38</v>
      </c>
      <c r="I291" s="2">
        <v>2876</v>
      </c>
      <c r="J291" t="s">
        <v>51</v>
      </c>
      <c r="K291" t="s">
        <v>64</v>
      </c>
      <c r="L291" t="s">
        <v>61</v>
      </c>
      <c r="M291">
        <v>2022</v>
      </c>
      <c r="N291">
        <v>42</v>
      </c>
      <c r="O291" t="s">
        <v>56</v>
      </c>
      <c r="P291" s="2">
        <v>5</v>
      </c>
      <c r="Q291" s="1">
        <v>756.17</v>
      </c>
      <c r="R291" t="s">
        <v>32</v>
      </c>
      <c r="S291" s="1">
        <v>0</v>
      </c>
      <c r="T291" s="1">
        <v>756.17</v>
      </c>
      <c r="U291" s="1">
        <f t="shared" si="4"/>
        <v>756.17</v>
      </c>
      <c r="V291" s="1" t="s">
        <v>49</v>
      </c>
      <c r="W291" t="s">
        <v>49</v>
      </c>
      <c r="X291" t="s">
        <v>50</v>
      </c>
      <c r="Y291" t="s">
        <v>50</v>
      </c>
      <c r="Z291" s="2">
        <v>10</v>
      </c>
      <c r="AA291" s="2">
        <v>2</v>
      </c>
      <c r="AB291" s="1">
        <v>90.74</v>
      </c>
      <c r="AC291" s="1">
        <v>0</v>
      </c>
      <c r="AD291" t="s">
        <v>58</v>
      </c>
    </row>
    <row r="292" spans="1:30" x14ac:dyDescent="0.3">
      <c r="A292" s="2">
        <v>7715</v>
      </c>
      <c r="B292" s="3">
        <v>45617</v>
      </c>
      <c r="C292" s="2">
        <v>1028</v>
      </c>
      <c r="D292" s="2" t="s">
        <v>100</v>
      </c>
      <c r="E292" t="s">
        <v>25</v>
      </c>
      <c r="F292" t="s">
        <v>60</v>
      </c>
      <c r="G292" t="s">
        <v>55</v>
      </c>
      <c r="H292" t="s">
        <v>55</v>
      </c>
      <c r="I292" s="2">
        <v>2692</v>
      </c>
      <c r="J292" t="s">
        <v>86</v>
      </c>
      <c r="K292" t="s">
        <v>78</v>
      </c>
      <c r="L292" t="s">
        <v>41</v>
      </c>
      <c r="M292">
        <v>2024</v>
      </c>
      <c r="N292">
        <v>38</v>
      </c>
      <c r="O292" t="s">
        <v>48</v>
      </c>
      <c r="P292" s="2">
        <v>3</v>
      </c>
      <c r="Q292" s="1">
        <v>532.98</v>
      </c>
      <c r="R292" t="s">
        <v>42</v>
      </c>
      <c r="S292" s="1">
        <v>53.3</v>
      </c>
      <c r="T292" s="1">
        <v>479.68</v>
      </c>
      <c r="U292" s="1">
        <f t="shared" si="4"/>
        <v>479.68</v>
      </c>
      <c r="V292" s="1" t="s">
        <v>53</v>
      </c>
      <c r="W292" t="s">
        <v>53</v>
      </c>
      <c r="X292" t="s">
        <v>115</v>
      </c>
      <c r="Y292" t="s">
        <v>43</v>
      </c>
      <c r="Z292" s="2">
        <v>11</v>
      </c>
      <c r="AA292" s="2">
        <v>1</v>
      </c>
      <c r="AB292" s="1">
        <v>63.96</v>
      </c>
      <c r="AC292" s="1">
        <v>26.65</v>
      </c>
      <c r="AD292" t="s">
        <v>35</v>
      </c>
    </row>
    <row r="293" spans="1:30" x14ac:dyDescent="0.3">
      <c r="A293" s="2">
        <v>7716</v>
      </c>
      <c r="B293" s="3">
        <v>45666</v>
      </c>
      <c r="C293" s="2">
        <v>1046</v>
      </c>
      <c r="D293" s="2" t="s">
        <v>95</v>
      </c>
      <c r="E293" t="s">
        <v>95</v>
      </c>
      <c r="F293" t="s">
        <v>37</v>
      </c>
      <c r="G293" t="s">
        <v>55</v>
      </c>
      <c r="H293" t="s">
        <v>55</v>
      </c>
      <c r="I293" s="2">
        <v>2895</v>
      </c>
      <c r="J293" t="s">
        <v>80</v>
      </c>
      <c r="K293" t="s">
        <v>64</v>
      </c>
      <c r="L293" t="s">
        <v>30</v>
      </c>
      <c r="M293">
        <v>2024</v>
      </c>
      <c r="N293">
        <v>38</v>
      </c>
      <c r="O293" t="s">
        <v>56</v>
      </c>
      <c r="P293" s="2">
        <v>2</v>
      </c>
      <c r="Q293" s="1">
        <v>623.58000000000004</v>
      </c>
      <c r="R293" t="s">
        <v>42</v>
      </c>
      <c r="S293" s="1">
        <v>62.36</v>
      </c>
      <c r="T293" s="1">
        <v>561.22</v>
      </c>
      <c r="U293" s="1">
        <f t="shared" si="4"/>
        <v>561.22</v>
      </c>
      <c r="V293" s="1" t="s">
        <v>53</v>
      </c>
      <c r="W293" t="s">
        <v>53</v>
      </c>
      <c r="X293" t="s">
        <v>50</v>
      </c>
      <c r="Y293" t="s">
        <v>50</v>
      </c>
      <c r="Z293" s="2">
        <v>1</v>
      </c>
      <c r="AA293" s="2">
        <v>2</v>
      </c>
      <c r="AB293" s="1">
        <v>74.83</v>
      </c>
      <c r="AC293" s="1">
        <v>31.18</v>
      </c>
      <c r="AD293" t="s">
        <v>69</v>
      </c>
    </row>
    <row r="294" spans="1:30" x14ac:dyDescent="0.3">
      <c r="A294" s="2">
        <v>7717</v>
      </c>
      <c r="B294" s="3">
        <v>45570</v>
      </c>
      <c r="C294" s="2">
        <v>1022</v>
      </c>
      <c r="D294" s="2" t="s">
        <v>96</v>
      </c>
      <c r="E294" t="s">
        <v>96</v>
      </c>
      <c r="F294" t="s">
        <v>73</v>
      </c>
      <c r="G294" t="s">
        <v>55</v>
      </c>
      <c r="H294" t="s">
        <v>55</v>
      </c>
      <c r="I294" s="2">
        <v>2378</v>
      </c>
      <c r="J294" t="s">
        <v>71</v>
      </c>
      <c r="K294" t="s">
        <v>40</v>
      </c>
      <c r="L294" t="s">
        <v>30</v>
      </c>
      <c r="M294">
        <v>2023</v>
      </c>
      <c r="N294">
        <v>38</v>
      </c>
      <c r="O294" t="s">
        <v>56</v>
      </c>
      <c r="P294" s="2">
        <v>3</v>
      </c>
      <c r="Q294" s="1">
        <v>490.13</v>
      </c>
      <c r="R294" t="s">
        <v>32</v>
      </c>
      <c r="S294" s="1">
        <v>0</v>
      </c>
      <c r="T294" s="1">
        <v>490.13</v>
      </c>
      <c r="U294" s="1">
        <f t="shared" si="4"/>
        <v>490.13</v>
      </c>
      <c r="V294" s="1" t="s">
        <v>53</v>
      </c>
      <c r="W294" t="s">
        <v>53</v>
      </c>
      <c r="X294" t="s">
        <v>34</v>
      </c>
      <c r="Y294" t="s">
        <v>34</v>
      </c>
      <c r="Z294" s="2">
        <v>13</v>
      </c>
      <c r="AA294" s="2">
        <v>5</v>
      </c>
      <c r="AB294" s="1">
        <v>58.82</v>
      </c>
      <c r="AC294" s="1">
        <v>0</v>
      </c>
      <c r="AD294" t="s">
        <v>58</v>
      </c>
    </row>
    <row r="295" spans="1:30" x14ac:dyDescent="0.3">
      <c r="A295" s="2">
        <v>7718</v>
      </c>
      <c r="B295" s="3">
        <v>45613</v>
      </c>
      <c r="C295" s="2">
        <v>1019</v>
      </c>
      <c r="D295" s="2" t="s">
        <v>106</v>
      </c>
      <c r="E295" t="s">
        <v>97</v>
      </c>
      <c r="F295" t="s">
        <v>60</v>
      </c>
      <c r="G295" t="s">
        <v>109</v>
      </c>
      <c r="H295" t="s">
        <v>38</v>
      </c>
      <c r="I295" s="2">
        <v>2820</v>
      </c>
      <c r="J295" t="s">
        <v>80</v>
      </c>
      <c r="K295" t="s">
        <v>64</v>
      </c>
      <c r="L295" t="s">
        <v>61</v>
      </c>
      <c r="M295">
        <v>2024</v>
      </c>
      <c r="N295">
        <v>42</v>
      </c>
      <c r="O295" t="s">
        <v>31</v>
      </c>
      <c r="P295" s="2">
        <v>5</v>
      </c>
      <c r="Q295" s="1">
        <v>368.47</v>
      </c>
      <c r="R295" t="s">
        <v>32</v>
      </c>
      <c r="S295" s="1">
        <v>0</v>
      </c>
      <c r="T295" s="1">
        <v>368.47</v>
      </c>
      <c r="U295" s="1">
        <f t="shared" si="4"/>
        <v>368.47</v>
      </c>
      <c r="V295" s="1" t="s">
        <v>49</v>
      </c>
      <c r="W295" t="s">
        <v>49</v>
      </c>
      <c r="X295" t="s">
        <v>115</v>
      </c>
      <c r="Y295" t="s">
        <v>43</v>
      </c>
      <c r="Z295" s="2">
        <v>13</v>
      </c>
      <c r="AA295" s="2">
        <v>2</v>
      </c>
      <c r="AB295" s="1">
        <v>44.22</v>
      </c>
      <c r="AC295" s="1">
        <v>0</v>
      </c>
      <c r="AD295" t="s">
        <v>69</v>
      </c>
    </row>
    <row r="296" spans="1:30" x14ac:dyDescent="0.3">
      <c r="A296" s="2">
        <v>7719</v>
      </c>
      <c r="B296" s="3">
        <v>45763</v>
      </c>
      <c r="C296" s="2">
        <v>1085</v>
      </c>
      <c r="D296" s="2" t="s">
        <v>94</v>
      </c>
      <c r="E296" t="s">
        <v>94</v>
      </c>
      <c r="F296" t="s">
        <v>60</v>
      </c>
      <c r="G296" t="s">
        <v>109</v>
      </c>
      <c r="H296" t="s">
        <v>38</v>
      </c>
      <c r="I296" s="2">
        <v>2245</v>
      </c>
      <c r="J296" t="s">
        <v>63</v>
      </c>
      <c r="K296" t="s">
        <v>52</v>
      </c>
      <c r="L296" t="s">
        <v>61</v>
      </c>
      <c r="M296">
        <v>2022</v>
      </c>
      <c r="N296">
        <v>40</v>
      </c>
      <c r="O296" t="s">
        <v>56</v>
      </c>
      <c r="P296" s="2">
        <v>3</v>
      </c>
      <c r="Q296" s="1">
        <v>496.42</v>
      </c>
      <c r="R296" t="s">
        <v>42</v>
      </c>
      <c r="S296" s="1">
        <v>49.64</v>
      </c>
      <c r="T296" s="1">
        <v>4.4678E+16</v>
      </c>
      <c r="U296" s="1">
        <f t="shared" si="4"/>
        <v>446.78000000000003</v>
      </c>
      <c r="V296" s="1" t="s">
        <v>113</v>
      </c>
      <c r="W296" t="s">
        <v>57</v>
      </c>
      <c r="X296" t="s">
        <v>34</v>
      </c>
      <c r="Y296" t="s">
        <v>34</v>
      </c>
      <c r="Z296" s="2">
        <v>13</v>
      </c>
      <c r="AA296" s="2">
        <v>1</v>
      </c>
      <c r="AB296" s="1">
        <v>59.57</v>
      </c>
      <c r="AC296" s="1">
        <v>24.82</v>
      </c>
      <c r="AD296" t="s">
        <v>35</v>
      </c>
    </row>
    <row r="297" spans="1:30" x14ac:dyDescent="0.3">
      <c r="A297" s="2">
        <v>7720</v>
      </c>
      <c r="B297" s="3">
        <v>45746</v>
      </c>
      <c r="C297" s="2">
        <v>1050</v>
      </c>
      <c r="D297" s="2" t="s">
        <v>91</v>
      </c>
      <c r="E297" t="s">
        <v>91</v>
      </c>
      <c r="F297" t="s">
        <v>73</v>
      </c>
      <c r="G297" t="s">
        <v>109</v>
      </c>
      <c r="H297" t="s">
        <v>38</v>
      </c>
      <c r="I297" s="2">
        <v>2398</v>
      </c>
      <c r="J297" t="s">
        <v>63</v>
      </c>
      <c r="K297" t="s">
        <v>29</v>
      </c>
      <c r="L297" t="s">
        <v>41</v>
      </c>
      <c r="M297">
        <v>2024</v>
      </c>
      <c r="N297">
        <v>41</v>
      </c>
      <c r="O297" t="s">
        <v>56</v>
      </c>
      <c r="P297" s="2">
        <v>3</v>
      </c>
      <c r="Q297" s="1">
        <v>442.62</v>
      </c>
      <c r="R297" t="s">
        <v>32</v>
      </c>
      <c r="S297" s="1">
        <v>0</v>
      </c>
      <c r="T297" s="1">
        <v>442.62</v>
      </c>
      <c r="U297" s="1">
        <f t="shared" si="4"/>
        <v>442.62</v>
      </c>
      <c r="V297" s="1" t="s">
        <v>113</v>
      </c>
      <c r="W297" t="s">
        <v>57</v>
      </c>
      <c r="X297" t="s">
        <v>115</v>
      </c>
      <c r="Y297" t="s">
        <v>43</v>
      </c>
      <c r="Z297" s="2">
        <v>11</v>
      </c>
      <c r="AA297" s="2">
        <v>5</v>
      </c>
      <c r="AB297" s="1">
        <v>53.11</v>
      </c>
      <c r="AC297" s="1">
        <v>0</v>
      </c>
      <c r="AD297" t="s">
        <v>58</v>
      </c>
    </row>
    <row r="298" spans="1:30" x14ac:dyDescent="0.3">
      <c r="A298" s="2">
        <v>7721</v>
      </c>
      <c r="B298" s="3">
        <v>45470</v>
      </c>
      <c r="C298" s="2">
        <v>1022</v>
      </c>
      <c r="D298" s="2" t="s">
        <v>94</v>
      </c>
      <c r="E298" t="s">
        <v>94</v>
      </c>
      <c r="F298" t="s">
        <v>45</v>
      </c>
      <c r="G298" t="s">
        <v>27</v>
      </c>
      <c r="H298" t="s">
        <v>27</v>
      </c>
      <c r="I298" s="2">
        <v>2039</v>
      </c>
      <c r="J298" t="s">
        <v>51</v>
      </c>
      <c r="K298" t="s">
        <v>40</v>
      </c>
      <c r="L298" t="s">
        <v>30</v>
      </c>
      <c r="M298">
        <v>2023</v>
      </c>
      <c r="N298">
        <v>39</v>
      </c>
      <c r="O298" t="s">
        <v>56</v>
      </c>
      <c r="P298" s="2">
        <v>1</v>
      </c>
      <c r="Q298" s="1">
        <v>638.17999999999995</v>
      </c>
      <c r="R298" t="s">
        <v>42</v>
      </c>
      <c r="S298" s="1">
        <v>63.82</v>
      </c>
      <c r="T298" s="1">
        <v>5743599999999990</v>
      </c>
      <c r="U298" s="1">
        <f t="shared" si="4"/>
        <v>574.3599999999999</v>
      </c>
      <c r="V298" s="1" t="s">
        <v>53</v>
      </c>
      <c r="W298" t="s">
        <v>53</v>
      </c>
      <c r="X298" t="s">
        <v>50</v>
      </c>
      <c r="Y298" t="s">
        <v>50</v>
      </c>
      <c r="Z298" s="2">
        <v>1</v>
      </c>
      <c r="AA298" s="2">
        <v>5</v>
      </c>
      <c r="AB298" s="1">
        <v>76.58</v>
      </c>
      <c r="AC298" s="1">
        <v>31.91</v>
      </c>
      <c r="AD298" t="s">
        <v>35</v>
      </c>
    </row>
    <row r="299" spans="1:30" x14ac:dyDescent="0.3">
      <c r="A299" s="2">
        <v>7722</v>
      </c>
      <c r="B299" s="3">
        <v>45454</v>
      </c>
      <c r="C299" s="2">
        <v>1082</v>
      </c>
      <c r="D299" s="2" t="s">
        <v>96</v>
      </c>
      <c r="E299" t="s">
        <v>96</v>
      </c>
      <c r="F299" t="s">
        <v>73</v>
      </c>
      <c r="G299" t="s">
        <v>27</v>
      </c>
      <c r="H299" t="s">
        <v>27</v>
      </c>
      <c r="I299" s="2">
        <v>2640</v>
      </c>
      <c r="J299" t="s">
        <v>51</v>
      </c>
      <c r="K299" t="s">
        <v>68</v>
      </c>
      <c r="L299" t="s">
        <v>30</v>
      </c>
      <c r="M299">
        <v>2024</v>
      </c>
      <c r="N299">
        <v>40</v>
      </c>
      <c r="O299" t="s">
        <v>75</v>
      </c>
      <c r="P299" s="2">
        <v>1</v>
      </c>
      <c r="Q299" s="1">
        <v>406.33</v>
      </c>
      <c r="R299" t="s">
        <v>32</v>
      </c>
      <c r="S299" s="1">
        <v>0</v>
      </c>
      <c r="T299" s="1">
        <v>406.33</v>
      </c>
      <c r="U299" s="1">
        <f t="shared" si="4"/>
        <v>406.33</v>
      </c>
      <c r="V299" s="1" t="s">
        <v>112</v>
      </c>
      <c r="W299" t="s">
        <v>33</v>
      </c>
      <c r="X299" t="s">
        <v>50</v>
      </c>
      <c r="Y299" t="s">
        <v>50</v>
      </c>
      <c r="Z299" s="2">
        <v>2</v>
      </c>
      <c r="AA299" s="2">
        <v>3</v>
      </c>
      <c r="AB299" s="1">
        <v>48.76</v>
      </c>
      <c r="AC299" s="1">
        <v>0</v>
      </c>
      <c r="AD299" t="s">
        <v>58</v>
      </c>
    </row>
    <row r="300" spans="1:30" x14ac:dyDescent="0.3">
      <c r="A300" s="2">
        <v>7723</v>
      </c>
      <c r="B300" s="3">
        <v>45738</v>
      </c>
      <c r="C300" s="2">
        <v>1011</v>
      </c>
      <c r="D300" s="2" t="s">
        <v>62</v>
      </c>
      <c r="E300" t="s">
        <v>62</v>
      </c>
      <c r="F300" t="s">
        <v>37</v>
      </c>
      <c r="G300" t="s">
        <v>55</v>
      </c>
      <c r="H300" t="s">
        <v>55</v>
      </c>
      <c r="I300" s="2">
        <v>2762</v>
      </c>
      <c r="J300" t="s">
        <v>46</v>
      </c>
      <c r="K300" t="s">
        <v>52</v>
      </c>
      <c r="L300" t="s">
        <v>41</v>
      </c>
      <c r="M300">
        <v>2024</v>
      </c>
      <c r="N300">
        <v>39</v>
      </c>
      <c r="O300" t="s">
        <v>56</v>
      </c>
      <c r="P300" s="2">
        <v>4</v>
      </c>
      <c r="Q300" s="1">
        <v>421.57</v>
      </c>
      <c r="R300" t="s">
        <v>42</v>
      </c>
      <c r="S300" s="1">
        <v>42.16</v>
      </c>
      <c r="T300" s="1">
        <v>3.7940999999999904E+16</v>
      </c>
      <c r="U300" s="1">
        <f t="shared" si="4"/>
        <v>379.40999999999997</v>
      </c>
      <c r="V300" s="1" t="s">
        <v>49</v>
      </c>
      <c r="W300" t="s">
        <v>49</v>
      </c>
      <c r="X300" t="s">
        <v>115</v>
      </c>
      <c r="Y300" t="s">
        <v>43</v>
      </c>
      <c r="Z300" s="2">
        <v>7</v>
      </c>
      <c r="AA300" s="2">
        <v>5</v>
      </c>
      <c r="AB300" s="1">
        <v>50.59</v>
      </c>
      <c r="AC300" s="1">
        <v>21.08</v>
      </c>
      <c r="AD300" t="s">
        <v>35</v>
      </c>
    </row>
    <row r="301" spans="1:30" x14ac:dyDescent="0.3">
      <c r="A301" s="2">
        <v>7724</v>
      </c>
      <c r="B301" s="3">
        <v>45538</v>
      </c>
      <c r="C301" s="2">
        <v>1066</v>
      </c>
      <c r="D301" s="2" t="s">
        <v>67</v>
      </c>
      <c r="E301" t="s">
        <v>67</v>
      </c>
      <c r="F301" t="s">
        <v>26</v>
      </c>
      <c r="G301" t="s">
        <v>109</v>
      </c>
      <c r="H301" t="s">
        <v>38</v>
      </c>
      <c r="I301" s="2">
        <v>2827</v>
      </c>
      <c r="J301" t="s">
        <v>51</v>
      </c>
      <c r="K301" t="s">
        <v>68</v>
      </c>
      <c r="L301" t="s">
        <v>61</v>
      </c>
      <c r="M301">
        <v>2022</v>
      </c>
      <c r="N301">
        <v>40</v>
      </c>
      <c r="O301" t="s">
        <v>56</v>
      </c>
      <c r="P301" s="2">
        <v>2</v>
      </c>
      <c r="Q301" s="1">
        <v>680.96</v>
      </c>
      <c r="R301" t="s">
        <v>32</v>
      </c>
      <c r="S301" s="1">
        <v>0</v>
      </c>
      <c r="T301" s="1">
        <v>680.96</v>
      </c>
      <c r="U301" s="1">
        <f t="shared" si="4"/>
        <v>680.96</v>
      </c>
      <c r="V301" s="1" t="s">
        <v>112</v>
      </c>
      <c r="W301" t="s">
        <v>33</v>
      </c>
      <c r="X301" t="s">
        <v>50</v>
      </c>
      <c r="Y301" t="s">
        <v>50</v>
      </c>
      <c r="Z301" s="2">
        <v>2</v>
      </c>
      <c r="AA301" s="2">
        <v>4</v>
      </c>
      <c r="AB301" s="1">
        <v>81.72</v>
      </c>
      <c r="AC301" s="1">
        <v>0</v>
      </c>
      <c r="AD301" t="s">
        <v>69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20869-0637-4E66-A4F4-A29AD5DD935E}">
  <sheetPr>
    <tabColor theme="3" tint="9.9978637043366805E-2"/>
  </sheetPr>
  <dimension ref="A1:J25"/>
  <sheetViews>
    <sheetView showGridLines="0" tabSelected="1" workbookViewId="0">
      <selection activeCell="F17" sqref="F17"/>
    </sheetView>
  </sheetViews>
  <sheetFormatPr defaultColWidth="0" defaultRowHeight="14.4" zeroHeight="1" x14ac:dyDescent="0.3"/>
  <cols>
    <col min="1" max="1" width="29.33203125" style="7" customWidth="1"/>
    <col min="2" max="2" width="5.5546875" customWidth="1"/>
    <col min="3" max="3" width="27" bestFit="1" customWidth="1"/>
    <col min="4" max="4" width="13.6640625" bestFit="1" customWidth="1"/>
    <col min="5" max="5" width="8.88671875" customWidth="1"/>
    <col min="6" max="6" width="21.33203125" bestFit="1" customWidth="1"/>
    <col min="7" max="7" width="13.6640625" bestFit="1" customWidth="1"/>
    <col min="8" max="8" width="8.88671875" customWidth="1"/>
    <col min="9" max="9" width="27" hidden="1" customWidth="1"/>
    <col min="10" max="10" width="23.6640625" hidden="1" customWidth="1"/>
    <col min="11" max="16384" width="8.88671875" hidden="1"/>
  </cols>
  <sheetData>
    <row r="1" spans="3:7" s="6" customFormat="1" ht="57.6" customHeight="1" x14ac:dyDescent="0.3"/>
    <row r="2" spans="3:7" x14ac:dyDescent="0.3"/>
    <row r="3" spans="3:7" x14ac:dyDescent="0.3">
      <c r="C3" t="s">
        <v>126</v>
      </c>
    </row>
    <row r="4" spans="3:7" x14ac:dyDescent="0.3"/>
    <row r="5" spans="3:7" ht="20.399999999999999" thickBot="1" x14ac:dyDescent="0.45">
      <c r="C5" s="10" t="s">
        <v>125</v>
      </c>
      <c r="D5" s="10"/>
      <c r="F5" s="10" t="s">
        <v>127</v>
      </c>
      <c r="G5" s="10"/>
    </row>
    <row r="6" spans="3:7" ht="13.8" customHeight="1" thickTop="1" x14ac:dyDescent="0.3">
      <c r="C6" s="11" t="s">
        <v>124</v>
      </c>
      <c r="D6" s="11"/>
      <c r="F6" s="11" t="s">
        <v>124</v>
      </c>
      <c r="G6" s="11"/>
    </row>
    <row r="7" spans="3:7" ht="12.6" customHeight="1" x14ac:dyDescent="0.3"/>
    <row r="8" spans="3:7" x14ac:dyDescent="0.3">
      <c r="C8" s="8" t="s">
        <v>24</v>
      </c>
      <c r="D8" t="s">
        <v>35</v>
      </c>
      <c r="F8" s="8" t="s">
        <v>24</v>
      </c>
      <c r="G8" t="s">
        <v>35</v>
      </c>
    </row>
    <row r="9" spans="3:7" x14ac:dyDescent="0.3">
      <c r="C9" s="8" t="s">
        <v>117</v>
      </c>
      <c r="D9" t="s">
        <v>121</v>
      </c>
      <c r="F9" s="8" t="s">
        <v>117</v>
      </c>
      <c r="G9" t="s">
        <v>121</v>
      </c>
    </row>
    <row r="10" spans="3:7" x14ac:dyDescent="0.3"/>
    <row r="11" spans="3:7" x14ac:dyDescent="0.3">
      <c r="C11" s="8" t="s">
        <v>123</v>
      </c>
      <c r="D11" s="9" t="s">
        <v>122</v>
      </c>
      <c r="F11" s="4" t="s">
        <v>123</v>
      </c>
      <c r="G11" s="9" t="s">
        <v>122</v>
      </c>
    </row>
    <row r="12" spans="3:7" x14ac:dyDescent="0.3">
      <c r="C12" s="5" t="s">
        <v>59</v>
      </c>
      <c r="D12" s="1">
        <v>1274.52</v>
      </c>
      <c r="F12" s="5" t="s">
        <v>30</v>
      </c>
      <c r="G12" s="1">
        <v>2732.6099999999997</v>
      </c>
    </row>
    <row r="13" spans="3:7" x14ac:dyDescent="0.3">
      <c r="C13" s="5" t="s">
        <v>62</v>
      </c>
      <c r="D13" s="1">
        <v>1239.24</v>
      </c>
      <c r="F13" s="5" t="s">
        <v>61</v>
      </c>
      <c r="G13" s="1">
        <v>1319.31</v>
      </c>
    </row>
    <row r="14" spans="3:7" x14ac:dyDescent="0.3">
      <c r="C14" s="5" t="s">
        <v>103</v>
      </c>
      <c r="D14" s="1">
        <v>817.34999999999991</v>
      </c>
      <c r="F14" s="5" t="s">
        <v>41</v>
      </c>
      <c r="G14" s="1">
        <v>961.96</v>
      </c>
    </row>
    <row r="15" spans="3:7" x14ac:dyDescent="0.3">
      <c r="C15" s="5" t="s">
        <v>101</v>
      </c>
      <c r="D15" s="1">
        <v>701.13</v>
      </c>
      <c r="F15" s="5" t="s">
        <v>120</v>
      </c>
      <c r="G15" s="1">
        <v>5013.8799999999992</v>
      </c>
    </row>
    <row r="16" spans="3:7" x14ac:dyDescent="0.3">
      <c r="C16" s="5" t="s">
        <v>65</v>
      </c>
      <c r="D16" s="1">
        <v>501.96</v>
      </c>
    </row>
    <row r="17" spans="3:4" x14ac:dyDescent="0.3">
      <c r="C17" s="5" t="s">
        <v>100</v>
      </c>
      <c r="D17" s="1">
        <v>479.68</v>
      </c>
    </row>
    <row r="18" spans="3:4" x14ac:dyDescent="0.3">
      <c r="C18" s="5" t="s">
        <v>120</v>
      </c>
      <c r="D18" s="1">
        <v>5013.88</v>
      </c>
    </row>
    <row r="19" spans="3:4" x14ac:dyDescent="0.3"/>
    <row r="20" spans="3:4" x14ac:dyDescent="0.3"/>
    <row r="21" spans="3:4" x14ac:dyDescent="0.3"/>
    <row r="22" spans="3:4" x14ac:dyDescent="0.3"/>
    <row r="23" spans="3:4" x14ac:dyDescent="0.3"/>
    <row r="24" spans="3:4" x14ac:dyDescent="0.3"/>
    <row r="25" spans="3:4" x14ac:dyDescent="0.3"/>
  </sheetData>
  <mergeCells count="4">
    <mergeCell ref="C5:D5"/>
    <mergeCell ref="C6:D6"/>
    <mergeCell ref="F5:G5"/>
    <mergeCell ref="F6:G6"/>
  </mergeCells>
  <pageMargins left="0.511811024" right="0.511811024" top="0.78740157499999996" bottom="0.78740157499999996" header="0.31496062000000002" footer="0.3149606200000000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30E54-FAC1-4BF0-8581-BC3309AA279F}">
  <sheetPr>
    <tabColor theme="5" tint="-0.499984740745262"/>
  </sheetPr>
  <dimension ref="A1:L31"/>
  <sheetViews>
    <sheetView workbookViewId="0">
      <selection activeCell="H9" sqref="H9"/>
    </sheetView>
  </sheetViews>
  <sheetFormatPr defaultRowHeight="14.4" x14ac:dyDescent="0.3"/>
  <cols>
    <col min="1" max="1" width="28.109375" bestFit="1" customWidth="1"/>
    <col min="2" max="2" width="26.5546875" customWidth="1"/>
    <col min="5" max="5" width="14.21875" customWidth="1"/>
    <col min="6" max="6" width="22.44140625" customWidth="1"/>
    <col min="8" max="8" width="17.44140625" customWidth="1"/>
    <col min="9" max="9" width="16.77734375" customWidth="1"/>
    <col min="11" max="11" width="14.109375" customWidth="1"/>
    <col min="12" max="12" width="17.109375" customWidth="1"/>
  </cols>
  <sheetData>
    <row r="1" spans="1:12" x14ac:dyDescent="0.3">
      <c r="A1" t="s">
        <v>3</v>
      </c>
      <c r="B1" t="s">
        <v>99</v>
      </c>
      <c r="E1" t="s">
        <v>5</v>
      </c>
      <c r="F1" t="s">
        <v>108</v>
      </c>
      <c r="H1" t="s">
        <v>18</v>
      </c>
      <c r="I1" t="s">
        <v>111</v>
      </c>
      <c r="K1" t="s">
        <v>19</v>
      </c>
      <c r="L1" t="s">
        <v>114</v>
      </c>
    </row>
    <row r="2" spans="1:12" x14ac:dyDescent="0.3">
      <c r="A2" t="s">
        <v>25</v>
      </c>
      <c r="B2" t="s">
        <v>100</v>
      </c>
      <c r="E2" t="s">
        <v>27</v>
      </c>
      <c r="F2" t="str">
        <f>Channel_normalize[[#This Row],[channel]]</f>
        <v>Marketplace</v>
      </c>
      <c r="H2" t="s">
        <v>33</v>
      </c>
      <c r="I2" t="s">
        <v>112</v>
      </c>
      <c r="K2" t="s">
        <v>34</v>
      </c>
      <c r="L2" t="str">
        <f>K2</f>
        <v>Nenhuma</v>
      </c>
    </row>
    <row r="3" spans="1:12" x14ac:dyDescent="0.3">
      <c r="A3" t="s">
        <v>36</v>
      </c>
      <c r="B3" t="str">
        <f>tbl_story[[#This Row],[store_name]]</f>
        <v>Nike Shopping Aricanduva</v>
      </c>
      <c r="E3" t="s">
        <v>38</v>
      </c>
      <c r="F3" t="s">
        <v>109</v>
      </c>
      <c r="H3" t="s">
        <v>49</v>
      </c>
      <c r="I3" t="str">
        <f>pay_normalize[[#This Row],[payment_method]]</f>
        <v>Boleto</v>
      </c>
      <c r="K3" t="s">
        <v>43</v>
      </c>
      <c r="L3" t="s">
        <v>115</v>
      </c>
    </row>
    <row r="4" spans="1:12" x14ac:dyDescent="0.3">
      <c r="A4" t="s">
        <v>44</v>
      </c>
      <c r="B4" t="s">
        <v>101</v>
      </c>
      <c r="E4" t="s">
        <v>55</v>
      </c>
      <c r="F4" t="str">
        <f>Channel_normalize[[#This Row],[channel]]</f>
        <v>Online</v>
      </c>
      <c r="H4" t="s">
        <v>53</v>
      </c>
      <c r="I4" t="str">
        <f>pay_normalize[[#This Row],[payment_method]]</f>
        <v>Pix</v>
      </c>
      <c r="K4" t="s">
        <v>50</v>
      </c>
      <c r="L4" t="str">
        <f>K4</f>
        <v>Devolvido</v>
      </c>
    </row>
    <row r="5" spans="1:12" x14ac:dyDescent="0.3">
      <c r="A5" t="s">
        <v>54</v>
      </c>
      <c r="B5" t="s">
        <v>102</v>
      </c>
      <c r="H5" t="s">
        <v>57</v>
      </c>
      <c r="I5" t="s">
        <v>113</v>
      </c>
    </row>
    <row r="6" spans="1:12" x14ac:dyDescent="0.3">
      <c r="A6" t="s">
        <v>59</v>
      </c>
      <c r="B6" t="str">
        <f>tbl_story[[#This Row],[store_name]]</f>
        <v>Nike Shopping Morumbi</v>
      </c>
    </row>
    <row r="7" spans="1:12" x14ac:dyDescent="0.3">
      <c r="A7" t="s">
        <v>62</v>
      </c>
      <c r="B7" t="str">
        <f>tbl_story[[#This Row],[store_name]]</f>
        <v>Nike Shopping Iguatemi</v>
      </c>
    </row>
    <row r="8" spans="1:12" x14ac:dyDescent="0.3">
      <c r="A8" t="s">
        <v>65</v>
      </c>
      <c r="B8" t="str">
        <f>tbl_story[[#This Row],[store_name]]</f>
        <v>Nike Shopping JK Iguatemi</v>
      </c>
    </row>
    <row r="9" spans="1:12" x14ac:dyDescent="0.3">
      <c r="A9" t="s">
        <v>67</v>
      </c>
      <c r="B9" t="str">
        <f>tbl_story[[#This Row],[store_name]]</f>
        <v>Nike Shopping Metropolitano</v>
      </c>
    </row>
    <row r="10" spans="1:12" x14ac:dyDescent="0.3">
      <c r="A10" t="s">
        <v>70</v>
      </c>
      <c r="B10" t="str">
        <f>tbl_story[[#This Row],[store_name]]</f>
        <v>Nike Shopping Paralela</v>
      </c>
    </row>
    <row r="11" spans="1:12" x14ac:dyDescent="0.3">
      <c r="A11" t="s">
        <v>74</v>
      </c>
      <c r="B11" t="s">
        <v>103</v>
      </c>
    </row>
    <row r="12" spans="1:12" x14ac:dyDescent="0.3">
      <c r="A12" t="s">
        <v>76</v>
      </c>
      <c r="B12" t="s">
        <v>104</v>
      </c>
    </row>
    <row r="13" spans="1:12" x14ac:dyDescent="0.3">
      <c r="A13" t="s">
        <v>77</v>
      </c>
      <c r="B13" t="str">
        <f>tbl_story[[#This Row],[store_name]]</f>
        <v>Nike Shopping RioSul</v>
      </c>
    </row>
    <row r="14" spans="1:12" x14ac:dyDescent="0.3">
      <c r="A14" t="s">
        <v>79</v>
      </c>
      <c r="B14" t="str">
        <f>tbl_story[[#This Row],[store_name]]</f>
        <v>Nike Shopping Itaigara</v>
      </c>
    </row>
    <row r="15" spans="1:12" x14ac:dyDescent="0.3">
      <c r="A15" t="s">
        <v>81</v>
      </c>
      <c r="B15" t="s">
        <v>105</v>
      </c>
    </row>
    <row r="16" spans="1:12" x14ac:dyDescent="0.3">
      <c r="A16" t="s">
        <v>82</v>
      </c>
      <c r="B16" t="str">
        <f>tbl_story[[#This Row],[store_name]]</f>
        <v>Nike Shopping Leblon</v>
      </c>
    </row>
    <row r="17" spans="1:2" x14ac:dyDescent="0.3">
      <c r="A17" t="s">
        <v>83</v>
      </c>
      <c r="B17" t="str">
        <f>tbl_story[[#This Row],[store_name]]</f>
        <v>Nike Boulevard Shopping</v>
      </c>
    </row>
    <row r="18" spans="1:2" x14ac:dyDescent="0.3">
      <c r="A18" t="s">
        <v>84</v>
      </c>
      <c r="B18" t="str">
        <f>tbl_story[[#This Row],[store_name]]</f>
        <v>Nike Salvador Shopping</v>
      </c>
    </row>
    <row r="19" spans="1:2" x14ac:dyDescent="0.3">
      <c r="A19" t="s">
        <v>85</v>
      </c>
      <c r="B19" t="str">
        <f>tbl_story[[#This Row],[store_name]]</f>
        <v>Nike Shopping Bela Vista</v>
      </c>
    </row>
    <row r="20" spans="1:2" x14ac:dyDescent="0.3">
      <c r="A20" t="s">
        <v>87</v>
      </c>
      <c r="B20" t="str">
        <f>tbl_story[[#This Row],[store_name]]</f>
        <v>Nike BarraShopping</v>
      </c>
    </row>
    <row r="21" spans="1:2" x14ac:dyDescent="0.3">
      <c r="A21" t="s">
        <v>88</v>
      </c>
      <c r="B21" t="str">
        <f>tbl_story[[#This Row],[store_name]]</f>
        <v>Nike Shopping Barra</v>
      </c>
    </row>
    <row r="22" spans="1:2" x14ac:dyDescent="0.3">
      <c r="A22" t="s">
        <v>89</v>
      </c>
      <c r="B22" t="str">
        <f>tbl_story[[#This Row],[store_name]]</f>
        <v>Nike Shopping da Bahia</v>
      </c>
    </row>
    <row r="23" spans="1:2" x14ac:dyDescent="0.3">
      <c r="A23" t="s">
        <v>90</v>
      </c>
      <c r="B23" t="str">
        <f>tbl_story[[#This Row],[store_name]]</f>
        <v>Nike Shopping Via Parque</v>
      </c>
    </row>
    <row r="24" spans="1:2" x14ac:dyDescent="0.3">
      <c r="A24" t="s">
        <v>91</v>
      </c>
      <c r="B24" t="str">
        <f>tbl_story[[#This Row],[store_name]]</f>
        <v>Nike Shopping Paseo</v>
      </c>
    </row>
    <row r="25" spans="1:2" x14ac:dyDescent="0.3">
      <c r="A25" t="s">
        <v>92</v>
      </c>
      <c r="B25" t="str">
        <f>tbl_story[[#This Row],[store_name]]</f>
        <v>Nike Shopping Eldorado</v>
      </c>
    </row>
    <row r="26" spans="1:2" x14ac:dyDescent="0.3">
      <c r="A26" t="s">
        <v>93</v>
      </c>
      <c r="B26" t="str">
        <f>tbl_story[[#This Row],[store_name]]</f>
        <v>Nike Shopping Salvador Norte</v>
      </c>
    </row>
    <row r="27" spans="1:2" x14ac:dyDescent="0.3">
      <c r="A27" t="s">
        <v>94</v>
      </c>
      <c r="B27" t="str">
        <f>tbl_story[[#This Row],[store_name]]</f>
        <v>Nike Shopping Center Norte</v>
      </c>
    </row>
    <row r="28" spans="1:2" x14ac:dyDescent="0.3">
      <c r="A28" t="s">
        <v>95</v>
      </c>
      <c r="B28" t="str">
        <f>tbl_story[[#This Row],[store_name]]</f>
        <v>Nike Shopping Tijuca</v>
      </c>
    </row>
    <row r="29" spans="1:2" x14ac:dyDescent="0.3">
      <c r="A29" t="s">
        <v>96</v>
      </c>
      <c r="B29" t="str">
        <f>tbl_story[[#This Row],[store_name]]</f>
        <v>Nike Shopping Center Lapa</v>
      </c>
    </row>
    <row r="30" spans="1:2" x14ac:dyDescent="0.3">
      <c r="A30" t="s">
        <v>97</v>
      </c>
      <c r="B30" t="s">
        <v>106</v>
      </c>
    </row>
    <row r="31" spans="1:2" x14ac:dyDescent="0.3">
      <c r="A31" t="s">
        <v>98</v>
      </c>
      <c r="B31" t="str">
        <f>tbl_story[[#This Row],[store_name]]</f>
        <v>Nike Shopping Downtown</v>
      </c>
    </row>
  </sheetData>
  <pageMargins left="0.511811024" right="0.511811024" top="0.78740157499999996" bottom="0.78740157499999996" header="0.31496062000000002" footer="0.31496062000000002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Reports</vt:lpstr>
      <vt:lpstr>Normalize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Santos</dc:creator>
  <cp:lastModifiedBy>guilherme Santos</cp:lastModifiedBy>
  <dcterms:created xsi:type="dcterms:W3CDTF">2026-01-01T15:41:04Z</dcterms:created>
  <dcterms:modified xsi:type="dcterms:W3CDTF">2026-01-02T11:51:22Z</dcterms:modified>
</cp:coreProperties>
</file>